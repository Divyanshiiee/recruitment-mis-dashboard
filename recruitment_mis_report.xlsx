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R\Downloads\"/>
    </mc:Choice>
  </mc:AlternateContent>
  <xr:revisionPtr revIDLastSave="0" documentId="13_ncr:1_{4852A46A-C1FB-4517-BEEE-FD303BD3783C}" xr6:coauthVersionLast="47" xr6:coauthVersionMax="47" xr10:uidLastSave="{00000000-0000-0000-0000-000000000000}"/>
  <bookViews>
    <workbookView xWindow="-120" yWindow="-120" windowWidth="20730" windowHeight="11160" activeTab="2" xr2:uid="{00000000-000D-0000-FFFF-FFFF00000000}"/>
  </bookViews>
  <sheets>
    <sheet name="Dashboard" sheetId="9" r:id="rId1"/>
    <sheet name="Pivot Tables" sheetId="7" r:id="rId2"/>
    <sheet name="Recruitment Data" sheetId="1" r:id="rId3"/>
  </sheets>
  <definedNames>
    <definedName name="_xlnm._FilterDatabase" localSheetId="2" hidden="1">'Recruitment Data'!$A$1:$S$751</definedName>
    <definedName name="Slicer_Department">#N/A</definedName>
    <definedName name="Slicer_Location">#N/A</definedName>
    <definedName name="Slicer_Position">#N/A</definedName>
    <definedName name="Slicer_Recruiter">#N/A</definedName>
    <definedName name="Slicer_Sourc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alcChain>
</file>

<file path=xl/sharedStrings.xml><?xml version="1.0" encoding="utf-8"?>
<sst xmlns="http://schemas.openxmlformats.org/spreadsheetml/2006/main" count="9086" uniqueCount="1108">
  <si>
    <t>Candidate ID</t>
  </si>
  <si>
    <t>Candidate Name</t>
  </si>
  <si>
    <t>Application Date</t>
  </si>
  <si>
    <t>Position</t>
  </si>
  <si>
    <t>Department</t>
  </si>
  <si>
    <t>Location</t>
  </si>
  <si>
    <t>Source</t>
  </si>
  <si>
    <t>Recruiter</t>
  </si>
  <si>
    <t>Screening Status</t>
  </si>
  <si>
    <t>Interview Stage</t>
  </si>
  <si>
    <t>Interview Date</t>
  </si>
  <si>
    <t>Interview Status</t>
  </si>
  <si>
    <t>Final Status</t>
  </si>
  <si>
    <t>Offer Date</t>
  </si>
  <si>
    <t>Joining Status</t>
  </si>
  <si>
    <t>Joining Date</t>
  </si>
  <si>
    <t>Days to Interview</t>
  </si>
  <si>
    <t>Days to Offer</t>
  </si>
  <si>
    <t>Days to Join</t>
  </si>
  <si>
    <t>CAND0001</t>
  </si>
  <si>
    <t>Vivaan Kapoor</t>
  </si>
  <si>
    <t>Research Analyst</t>
  </si>
  <si>
    <t>Knowledge Services</t>
  </si>
  <si>
    <t>Pune</t>
  </si>
  <si>
    <t>LinkedIn</t>
  </si>
  <si>
    <t>Meera</t>
  </si>
  <si>
    <t>Passed</t>
  </si>
  <si>
    <t>Round 1</t>
  </si>
  <si>
    <t>Completed</t>
  </si>
  <si>
    <t>Selected</t>
  </si>
  <si>
    <t>Joined</t>
  </si>
  <si>
    <t>CAND0002</t>
  </si>
  <si>
    <t>Riya Chauhan</t>
  </si>
  <si>
    <t>Talent Acquisition Associate</t>
  </si>
  <si>
    <t>Human Resources</t>
  </si>
  <si>
    <t>Bengaluru</t>
  </si>
  <si>
    <t>Employee Referral</t>
  </si>
  <si>
    <t>Rejected</t>
  </si>
  <si>
    <t>Not Applicable</t>
  </si>
  <si>
    <t>CAND0003</t>
  </si>
  <si>
    <t>Karan Mishra</t>
  </si>
  <si>
    <t>Business Analyst</t>
  </si>
  <si>
    <t>Consulting</t>
  </si>
  <si>
    <t>Mumbai</t>
  </si>
  <si>
    <t>Karan</t>
  </si>
  <si>
    <t>CAND0004</t>
  </si>
  <si>
    <t>Reyansh Chauhan</t>
  </si>
  <si>
    <t>Campus Hiring</t>
  </si>
  <si>
    <t>CAND0005</t>
  </si>
  <si>
    <t>Kavya Agarwal</t>
  </si>
  <si>
    <t>Gurugram</t>
  </si>
  <si>
    <t>Rohan</t>
  </si>
  <si>
    <t>CAND0006</t>
  </si>
  <si>
    <t>Meera Khan</t>
  </si>
  <si>
    <t>CAND0007</t>
  </si>
  <si>
    <t>Aarav Malhotra</t>
  </si>
  <si>
    <t>HR Analyst</t>
  </si>
  <si>
    <t>New Delhi</t>
  </si>
  <si>
    <t>Not Scheduled</t>
  </si>
  <si>
    <t>In Process</t>
  </si>
  <si>
    <t>CAND0008</t>
  </si>
  <si>
    <t>Kabir Agarwal</t>
  </si>
  <si>
    <t>Priya</t>
  </si>
  <si>
    <t>CAND0009</t>
  </si>
  <si>
    <t>Kabir Singh</t>
  </si>
  <si>
    <t>Associate Consultant</t>
  </si>
  <si>
    <t>Social Media</t>
  </si>
  <si>
    <t>CAND0010</t>
  </si>
  <si>
    <t>Aditya Sharma</t>
  </si>
  <si>
    <t>CAND0011</t>
  </si>
  <si>
    <t>Rahul Malhotra</t>
  </si>
  <si>
    <t>Company Website</t>
  </si>
  <si>
    <t>Ananya</t>
  </si>
  <si>
    <t>CAND0012</t>
  </si>
  <si>
    <t>Ishaan Sinha</t>
  </si>
  <si>
    <t>CAND0013</t>
  </si>
  <si>
    <t>Vivaan Agarwal</t>
  </si>
  <si>
    <t>CAND0014</t>
  </si>
  <si>
    <t>Ananya Agarwal</t>
  </si>
  <si>
    <t>CAND0015</t>
  </si>
  <si>
    <t>Karan Singh</t>
  </si>
  <si>
    <t>CAND0016</t>
  </si>
  <si>
    <t>Sana Malhotra</t>
  </si>
  <si>
    <t>Recruiting Coordinator</t>
  </si>
  <si>
    <t>Job Portal</t>
  </si>
  <si>
    <t>CAND0017</t>
  </si>
  <si>
    <t>Vivaan Khan</t>
  </si>
  <si>
    <t>CAND0018</t>
  </si>
  <si>
    <t>Sana Verma</t>
  </si>
  <si>
    <t>CAND0019</t>
  </si>
  <si>
    <t>Nisha Gupta</t>
  </si>
  <si>
    <t>CAND0020</t>
  </si>
  <si>
    <t>Ananya Malhotra</t>
  </si>
  <si>
    <t>CAND0021</t>
  </si>
  <si>
    <t>CAND0022</t>
  </si>
  <si>
    <t>Sana Kapoor</t>
  </si>
  <si>
    <t>CAND0023</t>
  </si>
  <si>
    <t>Sana Joshi</t>
  </si>
  <si>
    <t>CAND0024</t>
  </si>
  <si>
    <t>Karan Gupta</t>
  </si>
  <si>
    <t>Hyderabad</t>
  </si>
  <si>
    <t>CAND0025</t>
  </si>
  <si>
    <t>CAND0026</t>
  </si>
  <si>
    <t>Kabir Malhotra</t>
  </si>
  <si>
    <t>CAND0027</t>
  </si>
  <si>
    <t>Isha Khan</t>
  </si>
  <si>
    <t>CAND0028</t>
  </si>
  <si>
    <t>Aditya Malhotra</t>
  </si>
  <si>
    <t>CAND0029</t>
  </si>
  <si>
    <t>Aditya Kapoor</t>
  </si>
  <si>
    <t>CAND0030</t>
  </si>
  <si>
    <t>Aarav Mehta</t>
  </si>
  <si>
    <t>CAND0031</t>
  </si>
  <si>
    <t>Isha Joshi</t>
  </si>
  <si>
    <t>CAND0032</t>
  </si>
  <si>
    <t>Meera Patel</t>
  </si>
  <si>
    <t>CAND0033</t>
  </si>
  <si>
    <t>CAND0034</t>
  </si>
  <si>
    <t>CAND0035</t>
  </si>
  <si>
    <t>Aarav Sinha</t>
  </si>
  <si>
    <t>CAND0036</t>
  </si>
  <si>
    <t>Sana Khan</t>
  </si>
  <si>
    <t>CAND0037</t>
  </si>
  <si>
    <t>Kabir Gupta</t>
  </si>
  <si>
    <t>CAND0038</t>
  </si>
  <si>
    <t>Riya Kapoor</t>
  </si>
  <si>
    <t>CAND0039</t>
  </si>
  <si>
    <t>Kavya Singh</t>
  </si>
  <si>
    <t>CAND0040</t>
  </si>
  <si>
    <t>Reyansh Agarwal</t>
  </si>
  <si>
    <t>CAND0041</t>
  </si>
  <si>
    <t>Reyansh Sinha</t>
  </si>
  <si>
    <t>CAND0042</t>
  </si>
  <si>
    <t>Diya Rao</t>
  </si>
  <si>
    <t>CAND0043</t>
  </si>
  <si>
    <t>CAND0044</t>
  </si>
  <si>
    <t>Karan Joshi</t>
  </si>
  <si>
    <t>CAND0045</t>
  </si>
  <si>
    <t>Priya Gupta</t>
  </si>
  <si>
    <t>CAND0046</t>
  </si>
  <si>
    <t>CAND0047</t>
  </si>
  <si>
    <t>Riya Mehta</t>
  </si>
  <si>
    <t>CAND0048</t>
  </si>
  <si>
    <t>Ananya Rao</t>
  </si>
  <si>
    <t>CAND0049</t>
  </si>
  <si>
    <t>Karan Verma</t>
  </si>
  <si>
    <t>CAND0050</t>
  </si>
  <si>
    <t>Ishaan Mehta</t>
  </si>
  <si>
    <t>CAND0051</t>
  </si>
  <si>
    <t>Rahul Agarwal</t>
  </si>
  <si>
    <t>CAND0052</t>
  </si>
  <si>
    <t>CAND0053</t>
  </si>
  <si>
    <t>Rohan Khan</t>
  </si>
  <si>
    <t>CAND0054</t>
  </si>
  <si>
    <t>CAND0055</t>
  </si>
  <si>
    <t>Aarav Khan</t>
  </si>
  <si>
    <t>CAND0056</t>
  </si>
  <si>
    <t>CAND0057</t>
  </si>
  <si>
    <t>Priya Mehta</t>
  </si>
  <si>
    <t>CAND0058</t>
  </si>
  <si>
    <t>CAND0059</t>
  </si>
  <si>
    <t>Kabir Mishra</t>
  </si>
  <si>
    <t>CAND0060</t>
  </si>
  <si>
    <t>Priya Sinha</t>
  </si>
  <si>
    <t>CAND0061</t>
  </si>
  <si>
    <t>Kabir Patel</t>
  </si>
  <si>
    <t>CAND0062</t>
  </si>
  <si>
    <t>Priya Kapoor</t>
  </si>
  <si>
    <t>CAND0063</t>
  </si>
  <si>
    <t>Kavya Malhotra</t>
  </si>
  <si>
    <t>CAND0064</t>
  </si>
  <si>
    <t>Isha Verma</t>
  </si>
  <si>
    <t>CAND0065</t>
  </si>
  <si>
    <t>Meera Rao</t>
  </si>
  <si>
    <t>CAND0066</t>
  </si>
  <si>
    <t>Kabir Sinha</t>
  </si>
  <si>
    <t>CAND0067</t>
  </si>
  <si>
    <t>Vivaan Sinha</t>
  </si>
  <si>
    <t>CAND0068</t>
  </si>
  <si>
    <t>Arjun Kapoor</t>
  </si>
  <si>
    <t>CAND0069</t>
  </si>
  <si>
    <t>Nisha Singh</t>
  </si>
  <si>
    <t>CAND0070</t>
  </si>
  <si>
    <t>Isha Agarwal</t>
  </si>
  <si>
    <t>CAND0071</t>
  </si>
  <si>
    <t>Priya Agarwal</t>
  </si>
  <si>
    <t>CAND0072</t>
  </si>
  <si>
    <t>Isha Kapoor</t>
  </si>
  <si>
    <t>CAND0073</t>
  </si>
  <si>
    <t>Nisha Chauhan</t>
  </si>
  <si>
    <t>CAND0074</t>
  </si>
  <si>
    <t>Aanya Mehta</t>
  </si>
  <si>
    <t>CAND0075</t>
  </si>
  <si>
    <t>Meera Kapoor</t>
  </si>
  <si>
    <t>CAND0076</t>
  </si>
  <si>
    <t>Diya Patel</t>
  </si>
  <si>
    <t>CAND0077</t>
  </si>
  <si>
    <t>CAND0078</t>
  </si>
  <si>
    <t>Ananya Gupta</t>
  </si>
  <si>
    <t>CAND0079</t>
  </si>
  <si>
    <t>Ananya Kapoor</t>
  </si>
  <si>
    <t>CAND0080</t>
  </si>
  <si>
    <t>Arjun Sinha</t>
  </si>
  <si>
    <t>CAND0081</t>
  </si>
  <si>
    <t>Diya Kapoor</t>
  </si>
  <si>
    <t>CAND0082</t>
  </si>
  <si>
    <t>Rohan Mishra</t>
  </si>
  <si>
    <t>CAND0083</t>
  </si>
  <si>
    <t>CAND0084</t>
  </si>
  <si>
    <t>Reyansh Rao</t>
  </si>
  <si>
    <t>CAND0085</t>
  </si>
  <si>
    <t>Diya Agarwal</t>
  </si>
  <si>
    <t>CAND0086</t>
  </si>
  <si>
    <t>Aarav Mishra</t>
  </si>
  <si>
    <t>CAND0087</t>
  </si>
  <si>
    <t>Nisha Mishra</t>
  </si>
  <si>
    <t>CAND0088</t>
  </si>
  <si>
    <t>Aarav Gupta</t>
  </si>
  <si>
    <t>CAND0089</t>
  </si>
  <si>
    <t>Arjun Patel</t>
  </si>
  <si>
    <t>CAND0090</t>
  </si>
  <si>
    <t>CAND0091</t>
  </si>
  <si>
    <t>CAND0092</t>
  </si>
  <si>
    <t>Aanya Agarwal</t>
  </si>
  <si>
    <t>CAND0093</t>
  </si>
  <si>
    <t>Aanya Gupta</t>
  </si>
  <si>
    <t>CAND0094</t>
  </si>
  <si>
    <t>Offer Declined</t>
  </si>
  <si>
    <t>CAND0095</t>
  </si>
  <si>
    <t>Meera Mehta</t>
  </si>
  <si>
    <t>CAND0096</t>
  </si>
  <si>
    <t>Ishaan Verma</t>
  </si>
  <si>
    <t>CAND0097</t>
  </si>
  <si>
    <t>Ananya Patel</t>
  </si>
  <si>
    <t>CAND0098</t>
  </si>
  <si>
    <t>Reyansh Sharma</t>
  </si>
  <si>
    <t>CAND0099</t>
  </si>
  <si>
    <t>CAND0100</t>
  </si>
  <si>
    <t>Arjun Sharma</t>
  </si>
  <si>
    <t>CAND0101</t>
  </si>
  <si>
    <t>Vivaan Malhotra</t>
  </si>
  <si>
    <t>CAND0102</t>
  </si>
  <si>
    <t>CAND0103</t>
  </si>
  <si>
    <t>CAND0104</t>
  </si>
  <si>
    <t>Isha Chauhan</t>
  </si>
  <si>
    <t>CAND0105</t>
  </si>
  <si>
    <t>Kavya Verma</t>
  </si>
  <si>
    <t>CAND0106</t>
  </si>
  <si>
    <t>CAND0107</t>
  </si>
  <si>
    <t>Aanya Kapoor</t>
  </si>
  <si>
    <t>CAND0108</t>
  </si>
  <si>
    <t>Diya Mehta</t>
  </si>
  <si>
    <t>CAND0109</t>
  </si>
  <si>
    <t>Vivaan Mishra</t>
  </si>
  <si>
    <t>CAND0110</t>
  </si>
  <si>
    <t>Aanya Mishra</t>
  </si>
  <si>
    <t>CAND0111</t>
  </si>
  <si>
    <t>Aanya Sinha</t>
  </si>
  <si>
    <t>CAND0112</t>
  </si>
  <si>
    <t>Nisha Khan</t>
  </si>
  <si>
    <t>CAND0113</t>
  </si>
  <si>
    <t>Reyansh Singh</t>
  </si>
  <si>
    <t>CAND0114</t>
  </si>
  <si>
    <t>Ananya Verma</t>
  </si>
  <si>
    <t>CAND0115</t>
  </si>
  <si>
    <t>CAND0116</t>
  </si>
  <si>
    <t>Rohan Verma</t>
  </si>
  <si>
    <t>CAND0117</t>
  </si>
  <si>
    <t>Priya Chauhan</t>
  </si>
  <si>
    <t>CAND0118</t>
  </si>
  <si>
    <t>CAND0119</t>
  </si>
  <si>
    <t>CAND0120</t>
  </si>
  <si>
    <t>CAND0121</t>
  </si>
  <si>
    <t>Kavya Chauhan</t>
  </si>
  <si>
    <t>CAND0122</t>
  </si>
  <si>
    <t>CAND0123</t>
  </si>
  <si>
    <t>Diya Verma</t>
  </si>
  <si>
    <t>CAND0124</t>
  </si>
  <si>
    <t>Diya Sinha</t>
  </si>
  <si>
    <t>CAND0125</t>
  </si>
  <si>
    <t>Aanya Chauhan</t>
  </si>
  <si>
    <t>CAND0126</t>
  </si>
  <si>
    <t>Kavya Gupta</t>
  </si>
  <si>
    <t>CAND0127</t>
  </si>
  <si>
    <t>Kabir Rao</t>
  </si>
  <si>
    <t>CAND0128</t>
  </si>
  <si>
    <t>Ishaan Gupta</t>
  </si>
  <si>
    <t>CAND0129</t>
  </si>
  <si>
    <t>CAND0130</t>
  </si>
  <si>
    <t>Kabir Khan</t>
  </si>
  <si>
    <t>CAND0131</t>
  </si>
  <si>
    <t>CAND0132</t>
  </si>
  <si>
    <t>CAND0133</t>
  </si>
  <si>
    <t>CAND0134</t>
  </si>
  <si>
    <t>Riya Sinha</t>
  </si>
  <si>
    <t>CAND0135</t>
  </si>
  <si>
    <t>Reyansh Verma</t>
  </si>
  <si>
    <t>CAND0136</t>
  </si>
  <si>
    <t>Aarav Rao</t>
  </si>
  <si>
    <t>CAND0137</t>
  </si>
  <si>
    <t>Rohan Malhotra</t>
  </si>
  <si>
    <t>CAND0138</t>
  </si>
  <si>
    <t>Arjun Verma</t>
  </si>
  <si>
    <t>CAND0139</t>
  </si>
  <si>
    <t>CAND0140</t>
  </si>
  <si>
    <t>Rohan Singh</t>
  </si>
  <si>
    <t>CAND0141</t>
  </si>
  <si>
    <t>CAND0142</t>
  </si>
  <si>
    <t>Meera Sinha</t>
  </si>
  <si>
    <t>CAND0143</t>
  </si>
  <si>
    <t>CAND0144</t>
  </si>
  <si>
    <t>CAND0145</t>
  </si>
  <si>
    <t>CAND0146</t>
  </si>
  <si>
    <t>Rohan Chauhan</t>
  </si>
  <si>
    <t>CAND0147</t>
  </si>
  <si>
    <t>Aanya Rao</t>
  </si>
  <si>
    <t>CAND0148</t>
  </si>
  <si>
    <t>Sana Mishra</t>
  </si>
  <si>
    <t>CAND0149</t>
  </si>
  <si>
    <t>Arjun Mehta</t>
  </si>
  <si>
    <t>CAND0150</t>
  </si>
  <si>
    <t>Ananya Sinha</t>
  </si>
  <si>
    <t>CAND0151</t>
  </si>
  <si>
    <t>CAND0152</t>
  </si>
  <si>
    <t>CAND0153</t>
  </si>
  <si>
    <t>Vivaan Patel</t>
  </si>
  <si>
    <t>CAND0154</t>
  </si>
  <si>
    <t>Karan Patel</t>
  </si>
  <si>
    <t>CAND0155</t>
  </si>
  <si>
    <t>CAND0156</t>
  </si>
  <si>
    <t>Diya Singh</t>
  </si>
  <si>
    <t>CAND0157</t>
  </si>
  <si>
    <t>Nisha Malhotra</t>
  </si>
  <si>
    <t>CAND0158</t>
  </si>
  <si>
    <t>Meera Sharma</t>
  </si>
  <si>
    <t>CAND0159</t>
  </si>
  <si>
    <t>CAND0160</t>
  </si>
  <si>
    <t>CAND0161</t>
  </si>
  <si>
    <t>Aditya Agarwal</t>
  </si>
  <si>
    <t>CAND0162</t>
  </si>
  <si>
    <t>CAND0163</t>
  </si>
  <si>
    <t>Vivaan Singh</t>
  </si>
  <si>
    <t>CAND0164</t>
  </si>
  <si>
    <t>Meera Chauhan</t>
  </si>
  <si>
    <t>CAND0165</t>
  </si>
  <si>
    <t>Karan Sharma</t>
  </si>
  <si>
    <t>CAND0166</t>
  </si>
  <si>
    <t>Kabir Sharma</t>
  </si>
  <si>
    <t>CAND0167</t>
  </si>
  <si>
    <t>CAND0168</t>
  </si>
  <si>
    <t>Kavya Kapoor</t>
  </si>
  <si>
    <t>CAND0169</t>
  </si>
  <si>
    <t>CAND0170</t>
  </si>
  <si>
    <t>CAND0171</t>
  </si>
  <si>
    <t>CAND0172</t>
  </si>
  <si>
    <t>Isha Gupta</t>
  </si>
  <si>
    <t>CAND0173</t>
  </si>
  <si>
    <t>CAND0174</t>
  </si>
  <si>
    <t>CAND0175</t>
  </si>
  <si>
    <t>Aarav Kapoor</t>
  </si>
  <si>
    <t>CAND0176</t>
  </si>
  <si>
    <t>CAND0177</t>
  </si>
  <si>
    <t>CAND0178</t>
  </si>
  <si>
    <t>Aanya Khan</t>
  </si>
  <si>
    <t>CAND0179</t>
  </si>
  <si>
    <t>CAND0180</t>
  </si>
  <si>
    <t>Arjun Rao</t>
  </si>
  <si>
    <t>CAND0181</t>
  </si>
  <si>
    <t>Meera Malhotra</t>
  </si>
  <si>
    <t>CAND0182</t>
  </si>
  <si>
    <t>Ananya Mishra</t>
  </si>
  <si>
    <t>CAND0183</t>
  </si>
  <si>
    <t>Ishaan Patel</t>
  </si>
  <si>
    <t>CAND0184</t>
  </si>
  <si>
    <t>Karan Agarwal</t>
  </si>
  <si>
    <t>CAND0185</t>
  </si>
  <si>
    <t>Riya Sharma</t>
  </si>
  <si>
    <t>CAND0186</t>
  </si>
  <si>
    <t>Priya Singh</t>
  </si>
  <si>
    <t>CAND0187</t>
  </si>
  <si>
    <t>Ishaan Rao</t>
  </si>
  <si>
    <t>CAND0188</t>
  </si>
  <si>
    <t>Aditya Mishra</t>
  </si>
  <si>
    <t>CAND0189</t>
  </si>
  <si>
    <t>Ishaan Kapoor</t>
  </si>
  <si>
    <t>CAND0190</t>
  </si>
  <si>
    <t>Karan Kapoor</t>
  </si>
  <si>
    <t>CAND0191</t>
  </si>
  <si>
    <t>CAND0192</t>
  </si>
  <si>
    <t>Aanya Verma</t>
  </si>
  <si>
    <t>CAND0193</t>
  </si>
  <si>
    <t>CAND0194</t>
  </si>
  <si>
    <t>Diya Mishra</t>
  </si>
  <si>
    <t>CAND0195</t>
  </si>
  <si>
    <t>Aanya Patel</t>
  </si>
  <si>
    <t>CAND0196</t>
  </si>
  <si>
    <t>CAND0197</t>
  </si>
  <si>
    <t>CAND0198</t>
  </si>
  <si>
    <t>CAND0199</t>
  </si>
  <si>
    <t>Rahul Mehta</t>
  </si>
  <si>
    <t>CAND0200</t>
  </si>
  <si>
    <t>Rohan Mehta</t>
  </si>
  <si>
    <t>CAND0201</t>
  </si>
  <si>
    <t>Diya Chauhan</t>
  </si>
  <si>
    <t>CAND0202</t>
  </si>
  <si>
    <t>CAND0203</t>
  </si>
  <si>
    <t>Arjun Gupta</t>
  </si>
  <si>
    <t>CAND0204</t>
  </si>
  <si>
    <t>CAND0205</t>
  </si>
  <si>
    <t>CAND0206</t>
  </si>
  <si>
    <t>Ishaan Khan</t>
  </si>
  <si>
    <t>CAND0207</t>
  </si>
  <si>
    <t>Diya Gupta</t>
  </si>
  <si>
    <t>CAND0208</t>
  </si>
  <si>
    <t>CAND0209</t>
  </si>
  <si>
    <t>CAND0210</t>
  </si>
  <si>
    <t>Reyansh Khan</t>
  </si>
  <si>
    <t>CAND0211</t>
  </si>
  <si>
    <t>CAND0212</t>
  </si>
  <si>
    <t>CAND0213</t>
  </si>
  <si>
    <t>Ishaan Singh</t>
  </si>
  <si>
    <t>CAND0214</t>
  </si>
  <si>
    <t>Reyansh Mehta</t>
  </si>
  <si>
    <t>CAND0215</t>
  </si>
  <si>
    <t>Arjun Malhotra</t>
  </si>
  <si>
    <t>CAND0216</t>
  </si>
  <si>
    <t>Kavya Patel</t>
  </si>
  <si>
    <t>CAND0217</t>
  </si>
  <si>
    <t>Ishaan Sharma</t>
  </si>
  <si>
    <t>CAND0218</t>
  </si>
  <si>
    <t>CAND0219</t>
  </si>
  <si>
    <t>Meera Gupta</t>
  </si>
  <si>
    <t>CAND0220</t>
  </si>
  <si>
    <t>CAND0221</t>
  </si>
  <si>
    <t>CAND0222</t>
  </si>
  <si>
    <t>Ananya Mehta</t>
  </si>
  <si>
    <t>CAND0223</t>
  </si>
  <si>
    <t>Sana Gupta</t>
  </si>
  <si>
    <t>CAND0224</t>
  </si>
  <si>
    <t>Sana Rao</t>
  </si>
  <si>
    <t>CAND0225</t>
  </si>
  <si>
    <t>CAND0226</t>
  </si>
  <si>
    <t>CAND0227</t>
  </si>
  <si>
    <t>Vivaan Joshi</t>
  </si>
  <si>
    <t>CAND0228</t>
  </si>
  <si>
    <t>Arjun Singh</t>
  </si>
  <si>
    <t>CAND0229</t>
  </si>
  <si>
    <t>Diya Sharma</t>
  </si>
  <si>
    <t>CAND0230</t>
  </si>
  <si>
    <t>Sana Sinha</t>
  </si>
  <si>
    <t>CAND0231</t>
  </si>
  <si>
    <t>CAND0232</t>
  </si>
  <si>
    <t>CAND0233</t>
  </si>
  <si>
    <t>CAND0234</t>
  </si>
  <si>
    <t>Arjun Khan</t>
  </si>
  <si>
    <t>CAND0235</t>
  </si>
  <si>
    <t>Rahul Patel</t>
  </si>
  <si>
    <t>CAND0236</t>
  </si>
  <si>
    <t>CAND0237</t>
  </si>
  <si>
    <t>Meera Mishra</t>
  </si>
  <si>
    <t>CAND0238</t>
  </si>
  <si>
    <t>CAND0239</t>
  </si>
  <si>
    <t>CAND0240</t>
  </si>
  <si>
    <t>CAND0241</t>
  </si>
  <si>
    <t>CAND0242</t>
  </si>
  <si>
    <t>Aditya Singh</t>
  </si>
  <si>
    <t>CAND0243</t>
  </si>
  <si>
    <t>CAND0244</t>
  </si>
  <si>
    <t>CAND0245</t>
  </si>
  <si>
    <t>Aarav Agarwal</t>
  </si>
  <si>
    <t>CAND0246</t>
  </si>
  <si>
    <t>CAND0247</t>
  </si>
  <si>
    <t>CAND0248</t>
  </si>
  <si>
    <t>CAND0249</t>
  </si>
  <si>
    <t>Isha Patel</t>
  </si>
  <si>
    <t>CAND0250</t>
  </si>
  <si>
    <t>CAND0251</t>
  </si>
  <si>
    <t>CAND0252</t>
  </si>
  <si>
    <t>CAND0253</t>
  </si>
  <si>
    <t>Aanya Malhotra</t>
  </si>
  <si>
    <t>CAND0254</t>
  </si>
  <si>
    <t>CAND0255</t>
  </si>
  <si>
    <t>CAND0256</t>
  </si>
  <si>
    <t>CAND0257</t>
  </si>
  <si>
    <t>CAND0258</t>
  </si>
  <si>
    <t>Aanya Sharma</t>
  </si>
  <si>
    <t>CAND0259</t>
  </si>
  <si>
    <t>CAND0260</t>
  </si>
  <si>
    <t>Sana Sharma</t>
  </si>
  <si>
    <t>CAND0261</t>
  </si>
  <si>
    <t>CAND0262</t>
  </si>
  <si>
    <t>CAND0263</t>
  </si>
  <si>
    <t>Aditya Mehta</t>
  </si>
  <si>
    <t>CAND0264</t>
  </si>
  <si>
    <t>CAND0265</t>
  </si>
  <si>
    <t>CAND0266</t>
  </si>
  <si>
    <t>CAND0267</t>
  </si>
  <si>
    <t>CAND0268</t>
  </si>
  <si>
    <t>CAND0269</t>
  </si>
  <si>
    <t>CAND0270</t>
  </si>
  <si>
    <t>Isha Sharma</t>
  </si>
  <si>
    <t>CAND0271</t>
  </si>
  <si>
    <t>Karan Mehta</t>
  </si>
  <si>
    <t>CAND0272</t>
  </si>
  <si>
    <t>CAND0273</t>
  </si>
  <si>
    <t>Reyansh Kapoor</t>
  </si>
  <si>
    <t>CAND0274</t>
  </si>
  <si>
    <t>CAND0275</t>
  </si>
  <si>
    <t>Vivaan Gupta</t>
  </si>
  <si>
    <t>CAND0276</t>
  </si>
  <si>
    <t>CAND0277</t>
  </si>
  <si>
    <t>Nisha Rao</t>
  </si>
  <si>
    <t>CAND0278</t>
  </si>
  <si>
    <t>CAND0279</t>
  </si>
  <si>
    <t>CAND0280</t>
  </si>
  <si>
    <t>CAND0281</t>
  </si>
  <si>
    <t>CAND0282</t>
  </si>
  <si>
    <t>CAND0283</t>
  </si>
  <si>
    <t>Aarav Chauhan</t>
  </si>
  <si>
    <t>CAND0284</t>
  </si>
  <si>
    <t>Priya Patel</t>
  </si>
  <si>
    <t>CAND0285</t>
  </si>
  <si>
    <t>CAND0286</t>
  </si>
  <si>
    <t>CAND0287</t>
  </si>
  <si>
    <t>CAND0288</t>
  </si>
  <si>
    <t>CAND0289</t>
  </si>
  <si>
    <t>CAND0290</t>
  </si>
  <si>
    <t>CAND0291</t>
  </si>
  <si>
    <t>CAND0292</t>
  </si>
  <si>
    <t>CAND0293</t>
  </si>
  <si>
    <t>Riya Malhotra</t>
  </si>
  <si>
    <t>CAND0294</t>
  </si>
  <si>
    <t>CAND0295</t>
  </si>
  <si>
    <t>CAND0296</t>
  </si>
  <si>
    <t>CAND0297</t>
  </si>
  <si>
    <t>Riya Verma</t>
  </si>
  <si>
    <t>CAND0298</t>
  </si>
  <si>
    <t>CAND0299</t>
  </si>
  <si>
    <t>CAND0300</t>
  </si>
  <si>
    <t>CAND0301</t>
  </si>
  <si>
    <t>CAND0302</t>
  </si>
  <si>
    <t>Isha Malhotra</t>
  </si>
  <si>
    <t>CAND0303</t>
  </si>
  <si>
    <t>Vivaan Verma</t>
  </si>
  <si>
    <t>CAND0304</t>
  </si>
  <si>
    <t>CAND0305</t>
  </si>
  <si>
    <t>CAND0306</t>
  </si>
  <si>
    <t>CAND0307</t>
  </si>
  <si>
    <t>CAND0308</t>
  </si>
  <si>
    <t>CAND0309</t>
  </si>
  <si>
    <t>CAND0310</t>
  </si>
  <si>
    <t>CAND0311</t>
  </si>
  <si>
    <t>CAND0312</t>
  </si>
  <si>
    <t>CAND0313</t>
  </si>
  <si>
    <t>CAND0314</t>
  </si>
  <si>
    <t>CAND0315</t>
  </si>
  <si>
    <t>Isha Sinha</t>
  </si>
  <si>
    <t>CAND0316</t>
  </si>
  <si>
    <t>Rohan Sharma</t>
  </si>
  <si>
    <t>CAND0317</t>
  </si>
  <si>
    <t>CAND0318</t>
  </si>
  <si>
    <t>CAND0319</t>
  </si>
  <si>
    <t>CAND0320</t>
  </si>
  <si>
    <t>CAND0321</t>
  </si>
  <si>
    <t>CAND0322</t>
  </si>
  <si>
    <t>CAND0323</t>
  </si>
  <si>
    <t>CAND0324</t>
  </si>
  <si>
    <t>Aarav Sharma</t>
  </si>
  <si>
    <t>CAND0325</t>
  </si>
  <si>
    <t>Priya Verma</t>
  </si>
  <si>
    <t>CAND0326</t>
  </si>
  <si>
    <t>Vivaan Chauhan</t>
  </si>
  <si>
    <t>CAND0327</t>
  </si>
  <si>
    <t>Rohan Sinha</t>
  </si>
  <si>
    <t>CAND0328</t>
  </si>
  <si>
    <t>Ananya Chauhan</t>
  </si>
  <si>
    <t>CAND0329</t>
  </si>
  <si>
    <t>CAND0330</t>
  </si>
  <si>
    <t>CAND0331</t>
  </si>
  <si>
    <t>CAND0332</t>
  </si>
  <si>
    <t>CAND0333</t>
  </si>
  <si>
    <t>Rahul Chauhan</t>
  </si>
  <si>
    <t>CAND0334</t>
  </si>
  <si>
    <t>CAND0335</t>
  </si>
  <si>
    <t>CAND0336</t>
  </si>
  <si>
    <t>CAND0337</t>
  </si>
  <si>
    <t>CAND0338</t>
  </si>
  <si>
    <t>CAND0339</t>
  </si>
  <si>
    <t>Nisha Sinha</t>
  </si>
  <si>
    <t>CAND0340</t>
  </si>
  <si>
    <t>Rahul Gupta</t>
  </si>
  <si>
    <t>CAND0341</t>
  </si>
  <si>
    <t>Arjun Agarwal</t>
  </si>
  <si>
    <t>CAND0342</t>
  </si>
  <si>
    <t>CAND0343</t>
  </si>
  <si>
    <t>CAND0344</t>
  </si>
  <si>
    <t>Arjun Chauhan</t>
  </si>
  <si>
    <t>CAND0345</t>
  </si>
  <si>
    <t>Nisha Joshi</t>
  </si>
  <si>
    <t>CAND0346</t>
  </si>
  <si>
    <t>CAND0347</t>
  </si>
  <si>
    <t>CAND0348</t>
  </si>
  <si>
    <t>CAND0349</t>
  </si>
  <si>
    <t>CAND0350</t>
  </si>
  <si>
    <t>CAND0351</t>
  </si>
  <si>
    <t>Kavya Sharma</t>
  </si>
  <si>
    <t>CAND0352</t>
  </si>
  <si>
    <t>CAND0353</t>
  </si>
  <si>
    <t>CAND0354</t>
  </si>
  <si>
    <t>CAND0355</t>
  </si>
  <si>
    <t>CAND0356</t>
  </si>
  <si>
    <t>CAND0357</t>
  </si>
  <si>
    <t>CAND0358</t>
  </si>
  <si>
    <t>CAND0359</t>
  </si>
  <si>
    <t>CAND0360</t>
  </si>
  <si>
    <t>Aditya Verma</t>
  </si>
  <si>
    <t>CAND0361</t>
  </si>
  <si>
    <t>CAND0362</t>
  </si>
  <si>
    <t>CAND0363</t>
  </si>
  <si>
    <t>Nisha Agarwal</t>
  </si>
  <si>
    <t>CAND0364</t>
  </si>
  <si>
    <t>Diya Malhotra</t>
  </si>
  <si>
    <t>CAND0365</t>
  </si>
  <si>
    <t>CAND0366</t>
  </si>
  <si>
    <t>CAND0367</t>
  </si>
  <si>
    <t>CAND0368</t>
  </si>
  <si>
    <t>Aditya Joshi</t>
  </si>
  <si>
    <t>CAND0369</t>
  </si>
  <si>
    <t>CAND0370</t>
  </si>
  <si>
    <t>Rohan Rao</t>
  </si>
  <si>
    <t>CAND0371</t>
  </si>
  <si>
    <t>CAND0372</t>
  </si>
  <si>
    <t>CAND0373</t>
  </si>
  <si>
    <t>CAND0374</t>
  </si>
  <si>
    <t>CAND0375</t>
  </si>
  <si>
    <t>Sana Singh</t>
  </si>
  <si>
    <t>CAND0376</t>
  </si>
  <si>
    <t>CAND0377</t>
  </si>
  <si>
    <t>CAND0378</t>
  </si>
  <si>
    <t>Rahul Mishra</t>
  </si>
  <si>
    <t>CAND0379</t>
  </si>
  <si>
    <t>CAND0380</t>
  </si>
  <si>
    <t>CAND0381</t>
  </si>
  <si>
    <t>CAND0382</t>
  </si>
  <si>
    <t>CAND0383</t>
  </si>
  <si>
    <t>CAND0384</t>
  </si>
  <si>
    <t>CAND0385</t>
  </si>
  <si>
    <t>CAND0386</t>
  </si>
  <si>
    <t>CAND0387</t>
  </si>
  <si>
    <t>CAND0388</t>
  </si>
  <si>
    <t>CAND0389</t>
  </si>
  <si>
    <t>CAND0390</t>
  </si>
  <si>
    <t>CAND0391</t>
  </si>
  <si>
    <t>Priya Mishra</t>
  </si>
  <si>
    <t>CAND0392</t>
  </si>
  <si>
    <t>CAND0393</t>
  </si>
  <si>
    <t>CAND0394</t>
  </si>
  <si>
    <t>CAND0395</t>
  </si>
  <si>
    <t>CAND0396</t>
  </si>
  <si>
    <t>Aditya Chauhan</t>
  </si>
  <si>
    <t>CAND0397</t>
  </si>
  <si>
    <t>CAND0398</t>
  </si>
  <si>
    <t>CAND0399</t>
  </si>
  <si>
    <t>CAND0400</t>
  </si>
  <si>
    <t>Aditya Patel</t>
  </si>
  <si>
    <t>CAND0401</t>
  </si>
  <si>
    <t>CAND0402</t>
  </si>
  <si>
    <t>Rahul Sinha</t>
  </si>
  <si>
    <t>CAND0403</t>
  </si>
  <si>
    <t>CAND0404</t>
  </si>
  <si>
    <t>Kavya Rao</t>
  </si>
  <si>
    <t>CAND0405</t>
  </si>
  <si>
    <t>CAND0406</t>
  </si>
  <si>
    <t>CAND0407</t>
  </si>
  <si>
    <t>CAND0408</t>
  </si>
  <si>
    <t>CAND0409</t>
  </si>
  <si>
    <t>CAND0410</t>
  </si>
  <si>
    <t>Riya Rao</t>
  </si>
  <si>
    <t>CAND0411</t>
  </si>
  <si>
    <t>CAND0412</t>
  </si>
  <si>
    <t>Rahul Joshi</t>
  </si>
  <si>
    <t>CAND0413</t>
  </si>
  <si>
    <t>CAND0414</t>
  </si>
  <si>
    <t>CAND0415</t>
  </si>
  <si>
    <t>CAND0416</t>
  </si>
  <si>
    <t>Rahul Khan</t>
  </si>
  <si>
    <t>CAND0417</t>
  </si>
  <si>
    <t>CAND0418</t>
  </si>
  <si>
    <t>Reyansh Gupta</t>
  </si>
  <si>
    <t>CAND0419</t>
  </si>
  <si>
    <t>CAND0420</t>
  </si>
  <si>
    <t>CAND0421</t>
  </si>
  <si>
    <t>CAND0422</t>
  </si>
  <si>
    <t>Reyansh Joshi</t>
  </si>
  <si>
    <t>CAND0423</t>
  </si>
  <si>
    <t>Kabir Joshi</t>
  </si>
  <si>
    <t>CAND0424</t>
  </si>
  <si>
    <t>CAND0425</t>
  </si>
  <si>
    <t>CAND0426</t>
  </si>
  <si>
    <t>Riya Mishra</t>
  </si>
  <si>
    <t>CAND0427</t>
  </si>
  <si>
    <t>CAND0428</t>
  </si>
  <si>
    <t>CAND0429</t>
  </si>
  <si>
    <t>CAND0430</t>
  </si>
  <si>
    <t>Isha Mehta</t>
  </si>
  <si>
    <t>CAND0431</t>
  </si>
  <si>
    <t>CAND0432</t>
  </si>
  <si>
    <t>Nisha Patel</t>
  </si>
  <si>
    <t>CAND0433</t>
  </si>
  <si>
    <t>CAND0434</t>
  </si>
  <si>
    <t>Sana Agarwal</t>
  </si>
  <si>
    <t>CAND0435</t>
  </si>
  <si>
    <t>Rahul Verma</t>
  </si>
  <si>
    <t>CAND0436</t>
  </si>
  <si>
    <t>CAND0437</t>
  </si>
  <si>
    <t>Rahul Singh</t>
  </si>
  <si>
    <t>CAND0438</t>
  </si>
  <si>
    <t>CAND0439</t>
  </si>
  <si>
    <t>CAND0440</t>
  </si>
  <si>
    <t>CAND0441</t>
  </si>
  <si>
    <t>CAND0442</t>
  </si>
  <si>
    <t>CAND0443</t>
  </si>
  <si>
    <t>Vivaan Sharma</t>
  </si>
  <si>
    <t>CAND0444</t>
  </si>
  <si>
    <t>CAND0445</t>
  </si>
  <si>
    <t>CAND0446</t>
  </si>
  <si>
    <t>CAND0447</t>
  </si>
  <si>
    <t>Riya Joshi</t>
  </si>
  <si>
    <t>CAND0448</t>
  </si>
  <si>
    <t>CAND0449</t>
  </si>
  <si>
    <t>CAND0450</t>
  </si>
  <si>
    <t>CAND0451</t>
  </si>
  <si>
    <t>CAND0452</t>
  </si>
  <si>
    <t>CAND0453</t>
  </si>
  <si>
    <t>CAND0454</t>
  </si>
  <si>
    <t>CAND0455</t>
  </si>
  <si>
    <t>CAND0456</t>
  </si>
  <si>
    <t>CAND0457</t>
  </si>
  <si>
    <t>Rahul Rao</t>
  </si>
  <si>
    <t>CAND0458</t>
  </si>
  <si>
    <t>CAND0459</t>
  </si>
  <si>
    <t>CAND0460</t>
  </si>
  <si>
    <t>CAND0461</t>
  </si>
  <si>
    <t>CAND0462</t>
  </si>
  <si>
    <t>CAND0463</t>
  </si>
  <si>
    <t>Riya Patel</t>
  </si>
  <si>
    <t>CAND0464</t>
  </si>
  <si>
    <t>Ishaan Chauhan</t>
  </si>
  <si>
    <t>CAND0465</t>
  </si>
  <si>
    <t>CAND0466</t>
  </si>
  <si>
    <t>CAND0467</t>
  </si>
  <si>
    <t>CAND0468</t>
  </si>
  <si>
    <t>CAND0469</t>
  </si>
  <si>
    <t>Kavya Khan</t>
  </si>
  <si>
    <t>CAND0470</t>
  </si>
  <si>
    <t>CAND0471</t>
  </si>
  <si>
    <t>CAND0472</t>
  </si>
  <si>
    <t>CAND0473</t>
  </si>
  <si>
    <t>CAND0474</t>
  </si>
  <si>
    <t>Aanya Singh</t>
  </si>
  <si>
    <t>CAND0475</t>
  </si>
  <si>
    <t>CAND0476</t>
  </si>
  <si>
    <t>CAND0477</t>
  </si>
  <si>
    <t>CAND0478</t>
  </si>
  <si>
    <t>CAND0479</t>
  </si>
  <si>
    <t>CAND0480</t>
  </si>
  <si>
    <t>CAND0481</t>
  </si>
  <si>
    <t>CAND0482</t>
  </si>
  <si>
    <t>CAND0483</t>
  </si>
  <si>
    <t>CAND0484</t>
  </si>
  <si>
    <t>CAND0485</t>
  </si>
  <si>
    <t>Reyansh Mishra</t>
  </si>
  <si>
    <t>CAND0486</t>
  </si>
  <si>
    <t>Aditya Gupta</t>
  </si>
  <si>
    <t>CAND0487</t>
  </si>
  <si>
    <t>Riya Singh</t>
  </si>
  <si>
    <t>CAND0488</t>
  </si>
  <si>
    <t>Sana Mehta</t>
  </si>
  <si>
    <t>CAND0489</t>
  </si>
  <si>
    <t>CAND0490</t>
  </si>
  <si>
    <t>CAND0491</t>
  </si>
  <si>
    <t>CAND0492</t>
  </si>
  <si>
    <t>CAND0493</t>
  </si>
  <si>
    <t>Ananya Sharma</t>
  </si>
  <si>
    <t>CAND0494</t>
  </si>
  <si>
    <t>Nisha Sharma</t>
  </si>
  <si>
    <t>CAND0495</t>
  </si>
  <si>
    <t>CAND0496</t>
  </si>
  <si>
    <t>CAND0497</t>
  </si>
  <si>
    <t>CAND0498</t>
  </si>
  <si>
    <t>CAND0499</t>
  </si>
  <si>
    <t>CAND0500</t>
  </si>
  <si>
    <t>CAND0501</t>
  </si>
  <si>
    <t>CAND0502</t>
  </si>
  <si>
    <t>CAND0503</t>
  </si>
  <si>
    <t>CAND0504</t>
  </si>
  <si>
    <t>CAND0505</t>
  </si>
  <si>
    <t>CAND0506</t>
  </si>
  <si>
    <t>CAND0507</t>
  </si>
  <si>
    <t>CAND0508</t>
  </si>
  <si>
    <t>CAND0509</t>
  </si>
  <si>
    <t>Karan Malhotra</t>
  </si>
  <si>
    <t>CAND0510</t>
  </si>
  <si>
    <t>CAND0511</t>
  </si>
  <si>
    <t>CAND0512</t>
  </si>
  <si>
    <t>Nisha Kapoor</t>
  </si>
  <si>
    <t>CAND0513</t>
  </si>
  <si>
    <t>Rohan Kapoor</t>
  </si>
  <si>
    <t>CAND0514</t>
  </si>
  <si>
    <t>CAND0515</t>
  </si>
  <si>
    <t>CAND0516</t>
  </si>
  <si>
    <t>CAND0517</t>
  </si>
  <si>
    <t>CAND0518</t>
  </si>
  <si>
    <t>CAND0519</t>
  </si>
  <si>
    <t>CAND0520</t>
  </si>
  <si>
    <t>CAND0521</t>
  </si>
  <si>
    <t>CAND0522</t>
  </si>
  <si>
    <t>Vivaan Mehta</t>
  </si>
  <si>
    <t>CAND0523</t>
  </si>
  <si>
    <t>CAND0524</t>
  </si>
  <si>
    <t>CAND0525</t>
  </si>
  <si>
    <t>CAND0526</t>
  </si>
  <si>
    <t>CAND0527</t>
  </si>
  <si>
    <t>Meera Verma</t>
  </si>
  <si>
    <t>CAND0528</t>
  </si>
  <si>
    <t>CAND0529</t>
  </si>
  <si>
    <t>CAND0530</t>
  </si>
  <si>
    <t>CAND0531</t>
  </si>
  <si>
    <t>CAND0532</t>
  </si>
  <si>
    <t>CAND0533</t>
  </si>
  <si>
    <t>CAND0534</t>
  </si>
  <si>
    <t>Kavya Mishra</t>
  </si>
  <si>
    <t>CAND0535</t>
  </si>
  <si>
    <t>CAND0536</t>
  </si>
  <si>
    <t>Sana Patel</t>
  </si>
  <si>
    <t>CAND0537</t>
  </si>
  <si>
    <t>CAND0538</t>
  </si>
  <si>
    <t>CAND0539</t>
  </si>
  <si>
    <t>CAND0540</t>
  </si>
  <si>
    <t>Priya Malhotra</t>
  </si>
  <si>
    <t>CAND0541</t>
  </si>
  <si>
    <t>CAND0542</t>
  </si>
  <si>
    <t>CAND0543</t>
  </si>
  <si>
    <t>Rohan Joshi</t>
  </si>
  <si>
    <t>CAND0544</t>
  </si>
  <si>
    <t>Aditya Khan</t>
  </si>
  <si>
    <t>CAND0545</t>
  </si>
  <si>
    <t>CAND0546</t>
  </si>
  <si>
    <t>CAND0547</t>
  </si>
  <si>
    <t>CAND0548</t>
  </si>
  <si>
    <t>CAND0549</t>
  </si>
  <si>
    <t>CAND0550</t>
  </si>
  <si>
    <t>CAND0551</t>
  </si>
  <si>
    <t>Reyansh Patel</t>
  </si>
  <si>
    <t>CAND0552</t>
  </si>
  <si>
    <t>CAND0553</t>
  </si>
  <si>
    <t>CAND0554</t>
  </si>
  <si>
    <t>CAND0555</t>
  </si>
  <si>
    <t>CAND0556</t>
  </si>
  <si>
    <t>CAND0557</t>
  </si>
  <si>
    <t>CAND0558</t>
  </si>
  <si>
    <t>Kavya Sinha</t>
  </si>
  <si>
    <t>CAND0559</t>
  </si>
  <si>
    <t>CAND0560</t>
  </si>
  <si>
    <t>CAND0561</t>
  </si>
  <si>
    <t>CAND0562</t>
  </si>
  <si>
    <t>CAND0563</t>
  </si>
  <si>
    <t>CAND0564</t>
  </si>
  <si>
    <t>CAND0565</t>
  </si>
  <si>
    <t>CAND0566</t>
  </si>
  <si>
    <t>CAND0567</t>
  </si>
  <si>
    <t>CAND0568</t>
  </si>
  <si>
    <t>CAND0569</t>
  </si>
  <si>
    <t>CAND0570</t>
  </si>
  <si>
    <t>CAND0571</t>
  </si>
  <si>
    <t>CAND0572</t>
  </si>
  <si>
    <t>Ishaan Joshi</t>
  </si>
  <si>
    <t>CAND0573</t>
  </si>
  <si>
    <t>Ishaan Malhotra</t>
  </si>
  <si>
    <t>CAND0574</t>
  </si>
  <si>
    <t>CAND0575</t>
  </si>
  <si>
    <t>CAND0576</t>
  </si>
  <si>
    <t>CAND0577</t>
  </si>
  <si>
    <t>CAND0578</t>
  </si>
  <si>
    <t>CAND0579</t>
  </si>
  <si>
    <t>CAND0580</t>
  </si>
  <si>
    <t>CAND0581</t>
  </si>
  <si>
    <t>CAND0582</t>
  </si>
  <si>
    <t>CAND0583</t>
  </si>
  <si>
    <t>CAND0584</t>
  </si>
  <si>
    <t>CAND0585</t>
  </si>
  <si>
    <t>CAND0586</t>
  </si>
  <si>
    <t>CAND0587</t>
  </si>
  <si>
    <t>CAND0588</t>
  </si>
  <si>
    <t>CAND0589</t>
  </si>
  <si>
    <t>CAND0590</t>
  </si>
  <si>
    <t>CAND0591</t>
  </si>
  <si>
    <t>CAND0592</t>
  </si>
  <si>
    <t>Kavya Mehta</t>
  </si>
  <si>
    <t>CAND0593</t>
  </si>
  <si>
    <t>CAND0594</t>
  </si>
  <si>
    <t>Diya Khan</t>
  </si>
  <si>
    <t>CAND0595</t>
  </si>
  <si>
    <t>CAND0596</t>
  </si>
  <si>
    <t>CAND0597</t>
  </si>
  <si>
    <t>CAND0598</t>
  </si>
  <si>
    <t>CAND0599</t>
  </si>
  <si>
    <t>CAND0600</t>
  </si>
  <si>
    <t>CAND0601</t>
  </si>
  <si>
    <t>CAND0602</t>
  </si>
  <si>
    <t>Ananya Singh</t>
  </si>
  <si>
    <t>CAND0603</t>
  </si>
  <si>
    <t>CAND0604</t>
  </si>
  <si>
    <t>CAND0605</t>
  </si>
  <si>
    <t>CAND0606</t>
  </si>
  <si>
    <t>CAND0607</t>
  </si>
  <si>
    <t>CAND0608</t>
  </si>
  <si>
    <t>Sana Chauhan</t>
  </si>
  <si>
    <t>CAND0609</t>
  </si>
  <si>
    <t>CAND0610</t>
  </si>
  <si>
    <t>CAND0611</t>
  </si>
  <si>
    <t>CAND0612</t>
  </si>
  <si>
    <t>CAND0613</t>
  </si>
  <si>
    <t>CAND0614</t>
  </si>
  <si>
    <t>CAND0615</t>
  </si>
  <si>
    <t>CAND0616</t>
  </si>
  <si>
    <t>CAND0617</t>
  </si>
  <si>
    <t>CAND0618</t>
  </si>
  <si>
    <t>CAND0619</t>
  </si>
  <si>
    <t>CAND0620</t>
  </si>
  <si>
    <t>CAND0621</t>
  </si>
  <si>
    <t>CAND0622</t>
  </si>
  <si>
    <t>Karan Chauhan</t>
  </si>
  <si>
    <t>CAND0623</t>
  </si>
  <si>
    <t>CAND0624</t>
  </si>
  <si>
    <t>CAND0625</t>
  </si>
  <si>
    <t>CAND0626</t>
  </si>
  <si>
    <t>CAND0627</t>
  </si>
  <si>
    <t>CAND0628</t>
  </si>
  <si>
    <t>CAND0629</t>
  </si>
  <si>
    <t>Ishaan Mishra</t>
  </si>
  <si>
    <t>CAND0630</t>
  </si>
  <si>
    <t>CAND0631</t>
  </si>
  <si>
    <t>CAND0632</t>
  </si>
  <si>
    <t>CAND0633</t>
  </si>
  <si>
    <t>CAND0634</t>
  </si>
  <si>
    <t>CAND0635</t>
  </si>
  <si>
    <t>CAND0636</t>
  </si>
  <si>
    <t>CAND0637</t>
  </si>
  <si>
    <t>CAND0638</t>
  </si>
  <si>
    <t>CAND0639</t>
  </si>
  <si>
    <t>CAND0640</t>
  </si>
  <si>
    <t>Aarav Patel</t>
  </si>
  <si>
    <t>CAND0641</t>
  </si>
  <si>
    <t>CAND0642</t>
  </si>
  <si>
    <t>CAND0643</t>
  </si>
  <si>
    <t>CAND0644</t>
  </si>
  <si>
    <t>CAND0645</t>
  </si>
  <si>
    <t>CAND0646</t>
  </si>
  <si>
    <t>CAND0647</t>
  </si>
  <si>
    <t>CAND0648</t>
  </si>
  <si>
    <t>CAND0649</t>
  </si>
  <si>
    <t>Riya Khan</t>
  </si>
  <si>
    <t>CAND0650</t>
  </si>
  <si>
    <t>CAND0651</t>
  </si>
  <si>
    <t>CAND0652</t>
  </si>
  <si>
    <t>CAND0653</t>
  </si>
  <si>
    <t>CAND0654</t>
  </si>
  <si>
    <t>CAND0655</t>
  </si>
  <si>
    <t>CAND0656</t>
  </si>
  <si>
    <t>Priya Rao</t>
  </si>
  <si>
    <t>CAND0657</t>
  </si>
  <si>
    <t>CAND0658</t>
  </si>
  <si>
    <t>CAND0659</t>
  </si>
  <si>
    <t>Kabir Chauhan</t>
  </si>
  <si>
    <t>CAND0660</t>
  </si>
  <si>
    <t>CAND0661</t>
  </si>
  <si>
    <t>Riya Agarwal</t>
  </si>
  <si>
    <t>CAND0662</t>
  </si>
  <si>
    <t>CAND0663</t>
  </si>
  <si>
    <t>CAND0664</t>
  </si>
  <si>
    <t>CAND0665</t>
  </si>
  <si>
    <t>Nisha Mehta</t>
  </si>
  <si>
    <t>CAND0666</t>
  </si>
  <si>
    <t>CAND0667</t>
  </si>
  <si>
    <t>Kavya Joshi</t>
  </si>
  <si>
    <t>CAND0668</t>
  </si>
  <si>
    <t>CAND0669</t>
  </si>
  <si>
    <t>CAND0670</t>
  </si>
  <si>
    <t>CAND0671</t>
  </si>
  <si>
    <t>CAND0672</t>
  </si>
  <si>
    <t>Diya Joshi</t>
  </si>
  <si>
    <t>CAND0673</t>
  </si>
  <si>
    <t>CAND0674</t>
  </si>
  <si>
    <t>CAND0675</t>
  </si>
  <si>
    <t>CAND0676</t>
  </si>
  <si>
    <t>CAND0677</t>
  </si>
  <si>
    <t>CAND0678</t>
  </si>
  <si>
    <t>CAND0679</t>
  </si>
  <si>
    <t>CAND0680</t>
  </si>
  <si>
    <t>CAND0681</t>
  </si>
  <si>
    <t>Rohan Agarwal</t>
  </si>
  <si>
    <t>CAND0682</t>
  </si>
  <si>
    <t>CAND0683</t>
  </si>
  <si>
    <t>CAND0684</t>
  </si>
  <si>
    <t>CAND0685</t>
  </si>
  <si>
    <t>CAND0686</t>
  </si>
  <si>
    <t>CAND0687</t>
  </si>
  <si>
    <t>Nisha Verma</t>
  </si>
  <si>
    <t>CAND0688</t>
  </si>
  <si>
    <t>CAND0689</t>
  </si>
  <si>
    <t>CAND0690</t>
  </si>
  <si>
    <t>CAND0691</t>
  </si>
  <si>
    <t>CAND0692</t>
  </si>
  <si>
    <t>CAND0693</t>
  </si>
  <si>
    <t>CAND0694</t>
  </si>
  <si>
    <t>CAND0695</t>
  </si>
  <si>
    <t>CAND0696</t>
  </si>
  <si>
    <t>CAND0697</t>
  </si>
  <si>
    <t>CAND0698</t>
  </si>
  <si>
    <t>CAND0699</t>
  </si>
  <si>
    <t>CAND0700</t>
  </si>
  <si>
    <t>CAND0701</t>
  </si>
  <si>
    <t>CAND0702</t>
  </si>
  <si>
    <t>CAND0703</t>
  </si>
  <si>
    <t>CAND0704</t>
  </si>
  <si>
    <t>CAND0705</t>
  </si>
  <si>
    <t>CAND0706</t>
  </si>
  <si>
    <t>CAND0707</t>
  </si>
  <si>
    <t>CAND0708</t>
  </si>
  <si>
    <t>CAND0709</t>
  </si>
  <si>
    <t>CAND0710</t>
  </si>
  <si>
    <t>Arjun Joshi</t>
  </si>
  <si>
    <t>CAND0711</t>
  </si>
  <si>
    <t>CAND0712</t>
  </si>
  <si>
    <t>CAND0713</t>
  </si>
  <si>
    <t>CAND0714</t>
  </si>
  <si>
    <t>CAND0715</t>
  </si>
  <si>
    <t>CAND0716</t>
  </si>
  <si>
    <t>CAND0717</t>
  </si>
  <si>
    <t>Priya Joshi</t>
  </si>
  <si>
    <t>CAND0718</t>
  </si>
  <si>
    <t>CAND0719</t>
  </si>
  <si>
    <t>Reyansh Malhotra</t>
  </si>
  <si>
    <t>CAND0720</t>
  </si>
  <si>
    <t>CAND0721</t>
  </si>
  <si>
    <t>CAND0722</t>
  </si>
  <si>
    <t>CAND0723</t>
  </si>
  <si>
    <t>CAND0724</t>
  </si>
  <si>
    <t>CAND0725</t>
  </si>
  <si>
    <t>CAND0726</t>
  </si>
  <si>
    <t>CAND0727</t>
  </si>
  <si>
    <t>Meera Joshi</t>
  </si>
  <si>
    <t>CAND0728</t>
  </si>
  <si>
    <t>CAND0729</t>
  </si>
  <si>
    <t>CAND0730</t>
  </si>
  <si>
    <t>CAND0731</t>
  </si>
  <si>
    <t>CAND0732</t>
  </si>
  <si>
    <t>CAND0733</t>
  </si>
  <si>
    <t>Priya Sharma</t>
  </si>
  <si>
    <t>CAND0734</t>
  </si>
  <si>
    <t>CAND0735</t>
  </si>
  <si>
    <t>CAND0736</t>
  </si>
  <si>
    <t>Arjun Mishra</t>
  </si>
  <si>
    <t>CAND0737</t>
  </si>
  <si>
    <t>CAND0738</t>
  </si>
  <si>
    <t>CAND0739</t>
  </si>
  <si>
    <t>CAND0740</t>
  </si>
  <si>
    <t>CAND0741</t>
  </si>
  <si>
    <t>CAND0742</t>
  </si>
  <si>
    <t>CAND0743</t>
  </si>
  <si>
    <t>CAND0744</t>
  </si>
  <si>
    <t>CAND0745</t>
  </si>
  <si>
    <t>CAND0746</t>
  </si>
  <si>
    <t>CAND0747</t>
  </si>
  <si>
    <t>CAND0748</t>
  </si>
  <si>
    <t>CAND0749</t>
  </si>
  <si>
    <t>CAND0750</t>
  </si>
  <si>
    <t>Isha Mishra</t>
  </si>
  <si>
    <t>Recruitment Stage</t>
  </si>
  <si>
    <t>Selection Flag</t>
  </si>
  <si>
    <t>Offer</t>
  </si>
  <si>
    <t>Screening</t>
  </si>
  <si>
    <t>Grand Total</t>
  </si>
  <si>
    <t>Source Of Hiring</t>
  </si>
  <si>
    <t>Selected Candidates</t>
  </si>
  <si>
    <t>Hiring Position</t>
  </si>
  <si>
    <t>Jan</t>
  </si>
  <si>
    <t>Feb</t>
  </si>
  <si>
    <t>Mar</t>
  </si>
  <si>
    <t>Apr</t>
  </si>
  <si>
    <t>May</t>
  </si>
  <si>
    <t>Jun</t>
  </si>
  <si>
    <t>Jul</t>
  </si>
  <si>
    <t>Aug</t>
  </si>
  <si>
    <t>Sep</t>
  </si>
  <si>
    <t>Month</t>
  </si>
  <si>
    <t>Monthly Trend Analysis</t>
  </si>
  <si>
    <t>Positional Analysis</t>
  </si>
  <si>
    <t>Recruiter Analysis</t>
  </si>
  <si>
    <t>Source Analysis</t>
  </si>
  <si>
    <t>Recruitment Funnel</t>
  </si>
  <si>
    <t>Location Analysis</t>
  </si>
  <si>
    <t>Candidates</t>
  </si>
  <si>
    <t>Candidate</t>
  </si>
  <si>
    <t xml:space="preserve">Selected </t>
  </si>
  <si>
    <t xml:space="preserve"> Candidates</t>
  </si>
  <si>
    <t>Recruitment Pipeline &amp; HR MIS Dashboard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</si>
</sst>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name val="Calibri"/>
    </font>
    <font>
      <b/>
      <sz val="11"/>
      <name val="Calibri"/>
      <family val="2"/>
    </font>
    <font>
      <u/>
      <sz val="16"/>
      <color theme="1"/>
      <name val="Bahnschrift SemiCondensed"/>
      <family val="2"/>
    </font>
    <font>
      <b/>
      <u/>
      <sz val="11"/>
      <color theme="1"/>
      <name val="Calibri"/>
      <family val="2"/>
      <scheme val="minor"/>
    </font>
    <font>
      <b/>
      <u/>
      <sz val="16"/>
      <color theme="1"/>
      <name val="Bahnschrift SemiLight SemiConde"/>
      <family val="2"/>
    </font>
    <font>
      <b/>
      <u/>
      <sz val="16"/>
      <color theme="1"/>
      <name val="Bahnschrift SemiLight"/>
      <family val="2"/>
    </font>
    <font>
      <sz val="36"/>
      <color rgb="FF660033"/>
      <name val="Century Schoolbook"/>
      <family val="1"/>
    </font>
    <font>
      <u/>
      <sz val="36"/>
      <color rgb="FF660033"/>
      <name val="Century Schoolbook"/>
      <family val="1"/>
    </font>
    <font>
      <b/>
      <sz val="24"/>
      <color theme="1"/>
      <name val="Calibri"/>
      <family val="2"/>
      <scheme val="minor"/>
    </font>
    <font>
      <b/>
      <sz val="16"/>
      <color theme="2" tint="-0.749992370372631"/>
      <name val="Calibri"/>
      <family val="2"/>
      <scheme val="minor"/>
    </font>
    <font>
      <b/>
      <sz val="16"/>
      <color theme="3" tint="-0.249977111117893"/>
      <name val="Calibri"/>
      <family val="2"/>
      <scheme val="minor"/>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14" fontId="0" fillId="0" borderId="0" xfId="0" applyNumberFormat="1"/>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center"/>
    </xf>
    <xf numFmtId="0" fontId="4" fillId="0" borderId="0" xfId="0" applyFont="1"/>
    <xf numFmtId="0" fontId="6" fillId="0" borderId="0" xfId="0" applyFont="1"/>
    <xf numFmtId="0" fontId="10" fillId="0" borderId="0" xfId="0" applyFont="1" applyAlignment="1">
      <alignment horizontal="center"/>
    </xf>
    <xf numFmtId="1" fontId="0" fillId="0" borderId="0" xfId="0" applyNumberFormat="1"/>
    <xf numFmtId="0" fontId="8" fillId="2" borderId="0" xfId="0" applyFont="1" applyFill="1" applyAlignment="1">
      <alignment horizontal="left" vertical="center"/>
    </xf>
    <xf numFmtId="0" fontId="7" fillId="2" borderId="0" xfId="0" applyFont="1" applyFill="1" applyAlignment="1">
      <alignment horizontal="left" vertical="center"/>
    </xf>
    <xf numFmtId="0" fontId="11" fillId="0" borderId="0" xfId="0" applyFont="1" applyAlignment="1">
      <alignment horizontal="center"/>
    </xf>
    <xf numFmtId="0" fontId="10" fillId="0" borderId="0" xfId="0" applyFont="1" applyAlignment="1">
      <alignment horizontal="center"/>
    </xf>
    <xf numFmtId="0" fontId="9" fillId="0" borderId="0" xfId="0" applyFont="1" applyAlignment="1">
      <alignment horizontal="center"/>
    </xf>
    <xf numFmtId="0" fontId="5"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6" fillId="0" borderId="0" xfId="0" applyFont="1" applyAlignment="1">
      <alignment horizontal="center"/>
    </xf>
  </cellXfs>
  <cellStyles count="1">
    <cellStyle name="Normal" xfId="0" builtinId="0"/>
  </cellStyles>
  <dxfs count="10">
    <dxf>
      <font>
        <color rgb="FF9C0006"/>
      </font>
      <fill>
        <patternFill>
          <bgColor rgb="FFFFC7CE"/>
        </patternFill>
      </fill>
    </dxf>
    <dxf>
      <numFmt numFmtId="0" formatCode="General"/>
    </dxf>
    <dxf>
      <numFmt numFmtId="0" formatCode="General"/>
    </dxf>
    <dxf>
      <numFmt numFmtId="19" formatCode="m/d/yyyy"/>
    </dxf>
    <dxf>
      <numFmt numFmtId="19" formatCode="m/d/yyyy"/>
    </dxf>
    <dxf>
      <numFmt numFmtId="19" formatCode="m/d/yyyy"/>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[recruitment_mis_dataset.xlsx]Pivot Tables!PivotTable9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u="sng">
                <a:solidFill>
                  <a:schemeClr val="accent3">
                    <a:lumMod val="50000"/>
                  </a:schemeClr>
                </a:solidFill>
                <a:latin typeface="Arial Rounded MT Bold" panose="020F0704030504030204" pitchFamily="34" charset="0"/>
              </a:rPr>
              <a:t>Candidates</a:t>
            </a:r>
            <a:r>
              <a:rPr lang="en-US" sz="1400" b="1" u="sng" baseline="0">
                <a:solidFill>
                  <a:schemeClr val="accent3">
                    <a:lumMod val="50000"/>
                  </a:schemeClr>
                </a:solidFill>
                <a:latin typeface="Arial Rounded MT Bold" panose="020F0704030504030204" pitchFamily="34" charset="0"/>
              </a:rPr>
              <a:t> by Recruitment Stage</a:t>
            </a:r>
          </a:p>
        </c:rich>
      </c:tx>
      <c:layout>
        <c:manualLayout>
          <c:xMode val="edge"/>
          <c:yMode val="edge"/>
          <c:x val="0.15475363874970174"/>
          <c:y val="4.47641773789340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43414596058788"/>
          <c:y val="0.19077878038967758"/>
          <c:w val="0.8119014757022649"/>
          <c:h val="0.77029177922102798"/>
        </c:manualLayout>
      </c:layout>
      <c:barChart>
        <c:barDir val="bar"/>
        <c:grouping val="clustered"/>
        <c:varyColors val="0"/>
        <c:ser>
          <c:idx val="0"/>
          <c:order val="0"/>
          <c:tx>
            <c:strRef>
              <c:f>'Pivot Tables'!$B$49</c:f>
              <c:strCache>
                <c:ptCount val="1"/>
                <c:pt idx="0">
                  <c:v>Total</c:v>
                </c:pt>
              </c:strCache>
            </c:strRef>
          </c:tx>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Tables'!$A$50:$A$53</c:f>
              <c:strCache>
                <c:ptCount val="3"/>
                <c:pt idx="0">
                  <c:v>Offer</c:v>
                </c:pt>
                <c:pt idx="1">
                  <c:v>Rejected</c:v>
                </c:pt>
                <c:pt idx="2">
                  <c:v>Screening</c:v>
                </c:pt>
              </c:strCache>
            </c:strRef>
          </c:cat>
          <c:val>
            <c:numRef>
              <c:f>'Pivot Tables'!$B$50:$B$53</c:f>
              <c:numCache>
                <c:formatCode>General</c:formatCode>
                <c:ptCount val="3"/>
                <c:pt idx="0">
                  <c:v>80</c:v>
                </c:pt>
                <c:pt idx="1">
                  <c:v>540</c:v>
                </c:pt>
                <c:pt idx="2">
                  <c:v>130</c:v>
                </c:pt>
              </c:numCache>
            </c:numRef>
          </c:val>
          <c:extLst>
            <c:ext xmlns:c16="http://schemas.microsoft.com/office/drawing/2014/chart" uri="{C3380CC4-5D6E-409C-BE32-E72D297353CC}">
              <c16:uniqueId val="{00000000-C946-49F9-BE67-3375CFB5C8D2}"/>
            </c:ext>
          </c:extLst>
        </c:ser>
        <c:dLbls>
          <c:dLblPos val="outEnd"/>
          <c:showLegendKey val="0"/>
          <c:showVal val="1"/>
          <c:showCatName val="0"/>
          <c:showSerName val="0"/>
          <c:showPercent val="0"/>
          <c:showBubbleSize val="0"/>
        </c:dLbls>
        <c:gapWidth val="182"/>
        <c:axId val="348891280"/>
        <c:axId val="280477056"/>
      </c:barChart>
      <c:catAx>
        <c:axId val="348891280"/>
        <c:scaling>
          <c:orientation val="minMax"/>
        </c:scaling>
        <c:delete val="0"/>
        <c:axPos val="l"/>
        <c:numFmt formatCode="General" sourceLinked="1"/>
        <c:majorTickMark val="none"/>
        <c:minorTickMark val="none"/>
        <c:tickLblPos val="nextTo"/>
        <c:spPr>
          <a:gradFill>
            <a:gsLst>
              <a:gs pos="0">
                <a:schemeClr val="accent3">
                  <a:lumMod val="60000"/>
                  <a:lumOff val="40000"/>
                </a:schemeClr>
              </a:gs>
              <a:gs pos="44000">
                <a:schemeClr val="accent1">
                  <a:lumMod val="45000"/>
                  <a:lumOff val="55000"/>
                  <a:alpha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477056"/>
        <c:crosses val="autoZero"/>
        <c:auto val="1"/>
        <c:lblAlgn val="ctr"/>
        <c:lblOffset val="100"/>
        <c:noMultiLvlLbl val="0"/>
      </c:catAx>
      <c:valAx>
        <c:axId val="280477056"/>
        <c:scaling>
          <c:orientation val="minMax"/>
        </c:scaling>
        <c:delete val="1"/>
        <c:axPos val="b"/>
        <c:numFmt formatCode="General" sourceLinked="1"/>
        <c:majorTickMark val="none"/>
        <c:minorTickMark val="none"/>
        <c:tickLblPos val="nextTo"/>
        <c:crossAx val="34889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[recruitment_mis_dataset.xlsx]Pivot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solidFill>
                  <a:schemeClr val="accent3">
                    <a:lumMod val="50000"/>
                  </a:schemeClr>
                </a:solidFill>
                <a:latin typeface="Arial Rounded MT Bold" panose="020F0704030504030204" pitchFamily="34" charset="0"/>
              </a:rPr>
              <a:t>Ca</a:t>
            </a:r>
            <a:r>
              <a:rPr lang="en-US" sz="1600" b="1" u="sng" baseline="0">
                <a:solidFill>
                  <a:schemeClr val="accent3">
                    <a:lumMod val="50000"/>
                  </a:schemeClr>
                </a:solidFill>
                <a:latin typeface="Arial Rounded MT Bold" panose="020F0704030504030204" pitchFamily="34" charset="0"/>
              </a:rPr>
              <a:t>n</a:t>
            </a:r>
            <a:r>
              <a:rPr lang="en-US" sz="1600" b="1" u="sng">
                <a:solidFill>
                  <a:schemeClr val="accent3">
                    <a:lumMod val="50000"/>
                  </a:schemeClr>
                </a:solidFill>
                <a:latin typeface="Arial Rounded MT Bold" panose="020F0704030504030204" pitchFamily="34" charset="0"/>
              </a:rPr>
              <a:t>didates</a:t>
            </a:r>
            <a:r>
              <a:rPr lang="en-US" sz="1600" b="1" u="sng" baseline="0">
                <a:solidFill>
                  <a:schemeClr val="accent3">
                    <a:lumMod val="50000"/>
                  </a:schemeClr>
                </a:solidFill>
                <a:latin typeface="Arial Rounded MT Bold" panose="020F0704030504030204" pitchFamily="34" charset="0"/>
              </a:rPr>
              <a:t> by Recruitment Source</a:t>
            </a:r>
            <a:endParaRPr lang="en-US" sz="1600" b="1" u="sng">
              <a:solidFill>
                <a:schemeClr val="accent3">
                  <a:lumMod val="50000"/>
                </a:schemeClr>
              </a:solidFill>
              <a:latin typeface="Arial Rounded MT Bold" panose="020F0704030504030204" pitchFamily="34" charset="0"/>
            </a:endParaRPr>
          </a:p>
        </c:rich>
      </c:tx>
      <c:layout>
        <c:manualLayout>
          <c:xMode val="edge"/>
          <c:yMode val="edge"/>
          <c:x val="0.18526065194231672"/>
          <c:y val="4.1423956664670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2700000" scaled="1"/>
            <a:tileRect/>
          </a:gradFill>
          <a:ln>
            <a:gradFill flip="none" rotWithShape="1">
              <a:gsLst>
                <a:gs pos="34000">
                  <a:schemeClr val="accent3">
                    <a:lumMod val="40000"/>
                    <a:lumOff val="60000"/>
                  </a:schemeClr>
                </a:gs>
                <a:gs pos="78000">
                  <a:schemeClr val="accent3">
                    <a:lumMod val="95000"/>
                    <a:lumOff val="5000"/>
                  </a:schemeClr>
                </a:gs>
                <a:gs pos="100000">
                  <a:schemeClr val="accent3">
                    <a:lumMod val="60000"/>
                  </a:schemeClr>
                </a:gs>
              </a:gsLst>
              <a:path path="circle">
                <a:fillToRect l="50000" t="130000" r="50000" b="-3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2700000" scaled="1"/>
            <a:tileRect/>
          </a:gradFill>
          <a:ln>
            <a:gradFill flip="none" rotWithShape="1">
              <a:gsLst>
                <a:gs pos="34000">
                  <a:schemeClr val="accent3">
                    <a:lumMod val="40000"/>
                    <a:lumOff val="60000"/>
                  </a:schemeClr>
                </a:gs>
                <a:gs pos="78000">
                  <a:schemeClr val="accent3">
                    <a:lumMod val="95000"/>
                    <a:lumOff val="5000"/>
                  </a:schemeClr>
                </a:gs>
                <a:gs pos="100000">
                  <a:schemeClr val="accent3">
                    <a:lumMod val="60000"/>
                  </a:schemeClr>
                </a:gs>
              </a:gsLst>
              <a:path path="circle">
                <a:fillToRect l="50000" t="130000" r="50000" b="-3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2700000" scaled="1"/>
            <a:tileRect/>
          </a:gradFill>
          <a:ln>
            <a:gradFill flip="none" rotWithShape="1">
              <a:gsLst>
                <a:gs pos="34000">
                  <a:schemeClr val="accent3">
                    <a:lumMod val="40000"/>
                    <a:lumOff val="60000"/>
                  </a:schemeClr>
                </a:gs>
                <a:gs pos="78000">
                  <a:schemeClr val="accent3">
                    <a:lumMod val="95000"/>
                    <a:lumOff val="5000"/>
                  </a:schemeClr>
                </a:gs>
                <a:gs pos="100000">
                  <a:schemeClr val="accent3">
                    <a:lumMod val="60000"/>
                  </a:schemeClr>
                </a:gs>
              </a:gsLst>
              <a:path path="circle">
                <a:fillToRect l="50000" t="130000" r="50000" b="-3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273953279832343E-2"/>
          <c:y val="0.2576541530042456"/>
          <c:w val="0.74428839252236323"/>
          <c:h val="0.51974100241897969"/>
        </c:manualLayout>
      </c:layout>
      <c:barChart>
        <c:barDir val="col"/>
        <c:grouping val="clustered"/>
        <c:varyColors val="0"/>
        <c:ser>
          <c:idx val="0"/>
          <c:order val="0"/>
          <c:tx>
            <c:strRef>
              <c:f>'Pivot Tables'!$B$38</c:f>
              <c:strCache>
                <c:ptCount val="1"/>
                <c:pt idx="0">
                  <c:v>Candidates</c:v>
                </c:pt>
              </c:strCache>
            </c:strRef>
          </c:tx>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2700000" scaled="1"/>
              <a:tileRect/>
            </a:gradFill>
            <a:ln>
              <a:gradFill flip="none" rotWithShape="1">
                <a:gsLst>
                  <a:gs pos="34000">
                    <a:schemeClr val="accent3">
                      <a:lumMod val="40000"/>
                      <a:lumOff val="60000"/>
                    </a:schemeClr>
                  </a:gs>
                  <a:gs pos="78000">
                    <a:schemeClr val="accent3">
                      <a:lumMod val="95000"/>
                      <a:lumOff val="5000"/>
                    </a:schemeClr>
                  </a:gs>
                  <a:gs pos="100000">
                    <a:schemeClr val="accent3">
                      <a:lumMod val="60000"/>
                    </a:schemeClr>
                  </a:gs>
                </a:gsLst>
                <a:path path="circle">
                  <a:fillToRect l="50000" t="130000" r="50000" b="-30000"/>
                </a:path>
                <a:tileRect/>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Tables'!$A$39:$A$45</c:f>
              <c:strCache>
                <c:ptCount val="6"/>
                <c:pt idx="0">
                  <c:v>Campus Hiring</c:v>
                </c:pt>
                <c:pt idx="1">
                  <c:v>Company Website</c:v>
                </c:pt>
                <c:pt idx="2">
                  <c:v>Employee Referral</c:v>
                </c:pt>
                <c:pt idx="3">
                  <c:v>Job Portal</c:v>
                </c:pt>
                <c:pt idx="4">
                  <c:v>LinkedIn</c:v>
                </c:pt>
                <c:pt idx="5">
                  <c:v>Social Media</c:v>
                </c:pt>
              </c:strCache>
            </c:strRef>
          </c:cat>
          <c:val>
            <c:numRef>
              <c:f>'Pivot Tables'!$B$39:$B$45</c:f>
              <c:numCache>
                <c:formatCode>General</c:formatCode>
                <c:ptCount val="6"/>
                <c:pt idx="0">
                  <c:v>107</c:v>
                </c:pt>
                <c:pt idx="1">
                  <c:v>96</c:v>
                </c:pt>
                <c:pt idx="2">
                  <c:v>154</c:v>
                </c:pt>
                <c:pt idx="3">
                  <c:v>117</c:v>
                </c:pt>
                <c:pt idx="4">
                  <c:v>212</c:v>
                </c:pt>
                <c:pt idx="5">
                  <c:v>64</c:v>
                </c:pt>
              </c:numCache>
            </c:numRef>
          </c:val>
          <c:extLst>
            <c:ext xmlns:c16="http://schemas.microsoft.com/office/drawing/2014/chart" uri="{C3380CC4-5D6E-409C-BE32-E72D297353CC}">
              <c16:uniqueId val="{00000000-56C4-4C8D-80DE-56B9B95CCD4B}"/>
            </c:ext>
          </c:extLst>
        </c:ser>
        <c:ser>
          <c:idx val="1"/>
          <c:order val="1"/>
          <c:tx>
            <c:strRef>
              <c:f>'Pivot Tables'!$C$38</c:f>
              <c:strCache>
                <c:ptCount val="1"/>
                <c:pt idx="0">
                  <c:v>Selected</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Tables'!$A$39:$A$45</c:f>
              <c:strCache>
                <c:ptCount val="6"/>
                <c:pt idx="0">
                  <c:v>Campus Hiring</c:v>
                </c:pt>
                <c:pt idx="1">
                  <c:v>Company Website</c:v>
                </c:pt>
                <c:pt idx="2">
                  <c:v>Employee Referral</c:v>
                </c:pt>
                <c:pt idx="3">
                  <c:v>Job Portal</c:v>
                </c:pt>
                <c:pt idx="4">
                  <c:v>LinkedIn</c:v>
                </c:pt>
                <c:pt idx="5">
                  <c:v>Social Media</c:v>
                </c:pt>
              </c:strCache>
            </c:strRef>
          </c:cat>
          <c:val>
            <c:numRef>
              <c:f>'Pivot Tables'!$C$39:$C$45</c:f>
              <c:numCache>
                <c:formatCode>General</c:formatCode>
                <c:ptCount val="6"/>
                <c:pt idx="0">
                  <c:v>11</c:v>
                </c:pt>
                <c:pt idx="1">
                  <c:v>7</c:v>
                </c:pt>
                <c:pt idx="2">
                  <c:v>20</c:v>
                </c:pt>
                <c:pt idx="3">
                  <c:v>19</c:v>
                </c:pt>
                <c:pt idx="4">
                  <c:v>19</c:v>
                </c:pt>
                <c:pt idx="5">
                  <c:v>4</c:v>
                </c:pt>
              </c:numCache>
            </c:numRef>
          </c:val>
          <c:extLst>
            <c:ext xmlns:c16="http://schemas.microsoft.com/office/drawing/2014/chart" uri="{C3380CC4-5D6E-409C-BE32-E72D297353CC}">
              <c16:uniqueId val="{00000001-56C4-4C8D-80DE-56B9B95CCD4B}"/>
            </c:ext>
          </c:extLst>
        </c:ser>
        <c:dLbls>
          <c:dLblPos val="outEnd"/>
          <c:showLegendKey val="0"/>
          <c:showVal val="1"/>
          <c:showCatName val="0"/>
          <c:showSerName val="0"/>
          <c:showPercent val="0"/>
          <c:showBubbleSize val="0"/>
        </c:dLbls>
        <c:gapWidth val="219"/>
        <c:overlap val="-27"/>
        <c:axId val="348883392"/>
        <c:axId val="280486656"/>
      </c:barChart>
      <c:catAx>
        <c:axId val="348883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280486656"/>
        <c:crosses val="autoZero"/>
        <c:auto val="1"/>
        <c:lblAlgn val="ctr"/>
        <c:lblOffset val="100"/>
        <c:noMultiLvlLbl val="0"/>
      </c:catAx>
      <c:valAx>
        <c:axId val="280486656"/>
        <c:scaling>
          <c:orientation val="minMax"/>
        </c:scaling>
        <c:delete val="1"/>
        <c:axPos val="l"/>
        <c:numFmt formatCode="General" sourceLinked="1"/>
        <c:majorTickMark val="none"/>
        <c:minorTickMark val="none"/>
        <c:tickLblPos val="nextTo"/>
        <c:crossAx val="34888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[recruitment_mis_dataset.xlsx]Pivot Tables!PivotTable5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u="sng">
                <a:solidFill>
                  <a:schemeClr val="bg2">
                    <a:lumMod val="10000"/>
                  </a:schemeClr>
                </a:solidFill>
                <a:latin typeface="Arial Rounded MT Bold" panose="020F0704030504030204" pitchFamily="34" charset="0"/>
              </a:rPr>
              <a:t>Monthly Recruitment Analysis</a:t>
            </a:r>
          </a:p>
        </c:rich>
      </c:tx>
      <c:layout>
        <c:manualLayout>
          <c:xMode val="edge"/>
          <c:yMode val="edge"/>
          <c:x val="0.21318744531933506"/>
          <c:y val="1.38888888888888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4">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tx1">
                <a:lumMod val="95000"/>
                <a:lumOff val="5000"/>
              </a:schemeClr>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bg2">
                <a:lumMod val="5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4">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tx1">
                <a:lumMod val="95000"/>
                <a:lumOff val="5000"/>
              </a:schemeClr>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bg2">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lumMod val="75000"/>
              </a:schemeClr>
            </a:solidFill>
            <a:round/>
          </a:ln>
          <a:effectLst>
            <a:outerShdw blurRad="40000" dist="23000" dir="5400000" rotWithShape="0">
              <a:srgbClr val="000000">
                <a:alpha val="35000"/>
              </a:srgbClr>
            </a:outerShdw>
          </a:effectLst>
        </c:spPr>
        <c:marker>
          <c:symbol val="circle"/>
          <c:size val="6"/>
          <c:spPr>
            <a:solidFill>
              <a:schemeClr val="tx1">
                <a:lumMod val="95000"/>
                <a:lumOff val="5000"/>
              </a:schemeClr>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2E-2"/>
          <c:y val="0.16449074074074077"/>
          <c:w val="0.63356867891513557"/>
          <c:h val="0.70959135316418775"/>
        </c:manualLayout>
      </c:layout>
      <c:lineChart>
        <c:grouping val="standard"/>
        <c:varyColors val="0"/>
        <c:ser>
          <c:idx val="0"/>
          <c:order val="0"/>
          <c:tx>
            <c:strRef>
              <c:f>'Pivot Tables'!$B$3</c:f>
              <c:strCache>
                <c:ptCount val="1"/>
                <c:pt idx="0">
                  <c:v> Candidates</c:v>
                </c:pt>
              </c:strCache>
            </c:strRef>
          </c:tx>
          <c:spPr>
            <a:ln w="34925" cap="rnd">
              <a:solidFill>
                <a:schemeClr val="bg2">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Tables'!$A$4:$A$13</c:f>
              <c:strCache>
                <c:ptCount val="9"/>
                <c:pt idx="0">
                  <c:v>Jan</c:v>
                </c:pt>
                <c:pt idx="1">
                  <c:v>Feb</c:v>
                </c:pt>
                <c:pt idx="2">
                  <c:v>Mar</c:v>
                </c:pt>
                <c:pt idx="3">
                  <c:v>Apr</c:v>
                </c:pt>
                <c:pt idx="4">
                  <c:v>May</c:v>
                </c:pt>
                <c:pt idx="5">
                  <c:v>Jun</c:v>
                </c:pt>
                <c:pt idx="6">
                  <c:v>Jul</c:v>
                </c:pt>
                <c:pt idx="7">
                  <c:v>Aug</c:v>
                </c:pt>
                <c:pt idx="8">
                  <c:v>Sep</c:v>
                </c:pt>
              </c:strCache>
            </c:strRef>
          </c:cat>
          <c:val>
            <c:numRef>
              <c:f>'Pivot Tables'!$B$4:$B$13</c:f>
              <c:numCache>
                <c:formatCode>General</c:formatCode>
                <c:ptCount val="9"/>
                <c:pt idx="0">
                  <c:v>80</c:v>
                </c:pt>
                <c:pt idx="1">
                  <c:v>67</c:v>
                </c:pt>
                <c:pt idx="2">
                  <c:v>81</c:v>
                </c:pt>
                <c:pt idx="3">
                  <c:v>93</c:v>
                </c:pt>
                <c:pt idx="4">
                  <c:v>87</c:v>
                </c:pt>
                <c:pt idx="5">
                  <c:v>94</c:v>
                </c:pt>
                <c:pt idx="6">
                  <c:v>95</c:v>
                </c:pt>
                <c:pt idx="7">
                  <c:v>88</c:v>
                </c:pt>
                <c:pt idx="8">
                  <c:v>65</c:v>
                </c:pt>
              </c:numCache>
            </c:numRef>
          </c:val>
          <c:smooth val="0"/>
          <c:extLst>
            <c:ext xmlns:c16="http://schemas.microsoft.com/office/drawing/2014/chart" uri="{C3380CC4-5D6E-409C-BE32-E72D297353CC}">
              <c16:uniqueId val="{00000000-EA66-4185-85ED-055A977D13FF}"/>
            </c:ext>
          </c:extLst>
        </c:ser>
        <c:ser>
          <c:idx val="1"/>
          <c:order val="1"/>
          <c:tx>
            <c:strRef>
              <c:f>'Pivot Tables'!$C$3</c:f>
              <c:strCache>
                <c:ptCount val="1"/>
                <c:pt idx="0">
                  <c:v>Selected Candidates</c:v>
                </c:pt>
              </c:strCache>
            </c:strRef>
          </c:tx>
          <c:spPr>
            <a:ln w="34925" cap="rnd">
              <a:solidFill>
                <a:schemeClr val="accent4">
                  <a:lumMod val="75000"/>
                </a:schemeClr>
              </a:solidFill>
              <a:round/>
            </a:ln>
            <a:effectLst>
              <a:outerShdw blurRad="40000" dist="23000" dir="5400000" rotWithShape="0">
                <a:srgbClr val="000000">
                  <a:alpha val="35000"/>
                </a:srgbClr>
              </a:outerShdw>
            </a:effectLst>
          </c:spPr>
          <c:marker>
            <c:symbol val="circle"/>
            <c:size val="6"/>
            <c:spPr>
              <a:solidFill>
                <a:schemeClr val="tx1">
                  <a:lumMod val="95000"/>
                  <a:lumOff val="5000"/>
                </a:schemeClr>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Tables'!$A$4:$A$13</c:f>
              <c:strCache>
                <c:ptCount val="9"/>
                <c:pt idx="0">
                  <c:v>Jan</c:v>
                </c:pt>
                <c:pt idx="1">
                  <c:v>Feb</c:v>
                </c:pt>
                <c:pt idx="2">
                  <c:v>Mar</c:v>
                </c:pt>
                <c:pt idx="3">
                  <c:v>Apr</c:v>
                </c:pt>
                <c:pt idx="4">
                  <c:v>May</c:v>
                </c:pt>
                <c:pt idx="5">
                  <c:v>Jun</c:v>
                </c:pt>
                <c:pt idx="6">
                  <c:v>Jul</c:v>
                </c:pt>
                <c:pt idx="7">
                  <c:v>Aug</c:v>
                </c:pt>
                <c:pt idx="8">
                  <c:v>Sep</c:v>
                </c:pt>
              </c:strCache>
            </c:strRef>
          </c:cat>
          <c:val>
            <c:numRef>
              <c:f>'Pivot Tables'!$C$4:$C$13</c:f>
              <c:numCache>
                <c:formatCode>General</c:formatCode>
                <c:ptCount val="9"/>
                <c:pt idx="0">
                  <c:v>9</c:v>
                </c:pt>
                <c:pt idx="1">
                  <c:v>4</c:v>
                </c:pt>
                <c:pt idx="2">
                  <c:v>9</c:v>
                </c:pt>
                <c:pt idx="3">
                  <c:v>16</c:v>
                </c:pt>
                <c:pt idx="4">
                  <c:v>10</c:v>
                </c:pt>
                <c:pt idx="5">
                  <c:v>10</c:v>
                </c:pt>
                <c:pt idx="6">
                  <c:v>7</c:v>
                </c:pt>
                <c:pt idx="7">
                  <c:v>8</c:v>
                </c:pt>
                <c:pt idx="8">
                  <c:v>7</c:v>
                </c:pt>
              </c:numCache>
            </c:numRef>
          </c:val>
          <c:smooth val="0"/>
          <c:extLst>
            <c:ext xmlns:c16="http://schemas.microsoft.com/office/drawing/2014/chart" uri="{C3380CC4-5D6E-409C-BE32-E72D297353CC}">
              <c16:uniqueId val="{00000001-EA66-4185-85ED-055A977D13FF}"/>
            </c:ext>
          </c:extLst>
        </c:ser>
        <c:dLbls>
          <c:dLblPos val="t"/>
          <c:showLegendKey val="0"/>
          <c:showVal val="1"/>
          <c:showCatName val="0"/>
          <c:showSerName val="0"/>
          <c:showPercent val="0"/>
          <c:showBubbleSize val="0"/>
        </c:dLbls>
        <c:marker val="1"/>
        <c:smooth val="0"/>
        <c:axId val="1488307343"/>
        <c:axId val="1432391519"/>
      </c:lineChart>
      <c:catAx>
        <c:axId val="14883073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391519"/>
        <c:crosses val="autoZero"/>
        <c:auto val="1"/>
        <c:lblAlgn val="ctr"/>
        <c:lblOffset val="100"/>
        <c:noMultiLvlLbl val="0"/>
      </c:catAx>
      <c:valAx>
        <c:axId val="14323915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88307343"/>
        <c:crosses val="autoZero"/>
        <c:crossBetween val="between"/>
      </c:valAx>
      <c:spPr>
        <a:noFill/>
        <a:ln>
          <a:noFill/>
        </a:ln>
        <a:effectLst/>
      </c:spPr>
    </c:plotArea>
    <c:legend>
      <c:legendPos val="r"/>
      <c:layout>
        <c:manualLayout>
          <c:xMode val="edge"/>
          <c:yMode val="edge"/>
          <c:x val="0.71134645669291341"/>
          <c:y val="0.48791593759113433"/>
          <c:w val="0.2886535433070865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[recruitment_mis_dataset.xlsx]Pivot Tables!PivotTable9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u="sng">
                <a:solidFill>
                  <a:schemeClr val="accent3">
                    <a:lumMod val="50000"/>
                  </a:schemeClr>
                </a:solidFill>
                <a:latin typeface="Arial Rounded MT Bold" panose="020F0704030504030204" pitchFamily="34" charset="0"/>
              </a:rPr>
              <a:t>Candidates</a:t>
            </a:r>
            <a:r>
              <a:rPr lang="en-US" sz="1400" b="1" u="sng" baseline="0">
                <a:solidFill>
                  <a:schemeClr val="accent3">
                    <a:lumMod val="50000"/>
                  </a:schemeClr>
                </a:solidFill>
                <a:latin typeface="Arial Rounded MT Bold" panose="020F0704030504030204" pitchFamily="34" charset="0"/>
              </a:rPr>
              <a:t> by Recruitment Stage</a:t>
            </a:r>
          </a:p>
        </c:rich>
      </c:tx>
      <c:layout>
        <c:manualLayout>
          <c:xMode val="edge"/>
          <c:yMode val="edge"/>
          <c:x val="0.15475363874970174"/>
          <c:y val="4.47641773789340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Tables'!$B$49</c:f>
              <c:strCache>
                <c:ptCount val="1"/>
                <c:pt idx="0">
                  <c:v>Total</c:v>
                </c:pt>
              </c:strCache>
            </c:strRef>
          </c:tx>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Tables'!$A$50:$A$53</c:f>
              <c:strCache>
                <c:ptCount val="3"/>
                <c:pt idx="0">
                  <c:v>Offer</c:v>
                </c:pt>
                <c:pt idx="1">
                  <c:v>Rejected</c:v>
                </c:pt>
                <c:pt idx="2">
                  <c:v>Screening</c:v>
                </c:pt>
              </c:strCache>
            </c:strRef>
          </c:cat>
          <c:val>
            <c:numRef>
              <c:f>'Pivot Tables'!$B$50:$B$53</c:f>
              <c:numCache>
                <c:formatCode>General</c:formatCode>
                <c:ptCount val="3"/>
                <c:pt idx="0">
                  <c:v>80</c:v>
                </c:pt>
                <c:pt idx="1">
                  <c:v>540</c:v>
                </c:pt>
                <c:pt idx="2">
                  <c:v>130</c:v>
                </c:pt>
              </c:numCache>
            </c:numRef>
          </c:val>
          <c:extLst>
            <c:ext xmlns:c16="http://schemas.microsoft.com/office/drawing/2014/chart" uri="{C3380CC4-5D6E-409C-BE32-E72D297353CC}">
              <c16:uniqueId val="{00000000-67AC-4191-9023-CA4B7B15F2E4}"/>
            </c:ext>
          </c:extLst>
        </c:ser>
        <c:dLbls>
          <c:dLblPos val="outEnd"/>
          <c:showLegendKey val="0"/>
          <c:showVal val="1"/>
          <c:showCatName val="0"/>
          <c:showSerName val="0"/>
          <c:showPercent val="0"/>
          <c:showBubbleSize val="0"/>
        </c:dLbls>
        <c:gapWidth val="182"/>
        <c:axId val="348891280"/>
        <c:axId val="280477056"/>
      </c:barChart>
      <c:catAx>
        <c:axId val="348891280"/>
        <c:scaling>
          <c:orientation val="minMax"/>
        </c:scaling>
        <c:delete val="0"/>
        <c:axPos val="l"/>
        <c:numFmt formatCode="General" sourceLinked="1"/>
        <c:majorTickMark val="none"/>
        <c:minorTickMark val="none"/>
        <c:tickLblPos val="nextTo"/>
        <c:spPr>
          <a:gradFill>
            <a:gsLst>
              <a:gs pos="0">
                <a:schemeClr val="accent3">
                  <a:lumMod val="60000"/>
                  <a:lumOff val="40000"/>
                </a:schemeClr>
              </a:gs>
              <a:gs pos="44000">
                <a:schemeClr val="accent1">
                  <a:lumMod val="45000"/>
                  <a:lumOff val="55000"/>
                  <a:alpha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477056"/>
        <c:crosses val="autoZero"/>
        <c:auto val="1"/>
        <c:lblAlgn val="ctr"/>
        <c:lblOffset val="100"/>
        <c:noMultiLvlLbl val="0"/>
      </c:catAx>
      <c:valAx>
        <c:axId val="280477056"/>
        <c:scaling>
          <c:orientation val="minMax"/>
        </c:scaling>
        <c:delete val="1"/>
        <c:axPos val="b"/>
        <c:numFmt formatCode="General" sourceLinked="1"/>
        <c:majorTickMark val="none"/>
        <c:minorTickMark val="none"/>
        <c:tickLblPos val="nextTo"/>
        <c:crossAx val="34889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[recruitment_mis_dataset.xlsx]Pivot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solidFill>
                  <a:schemeClr val="accent3">
                    <a:lumMod val="50000"/>
                  </a:schemeClr>
                </a:solidFill>
                <a:latin typeface="Arial Rounded MT Bold" panose="020F0704030504030204" pitchFamily="34" charset="0"/>
              </a:rPr>
              <a:t>Ca</a:t>
            </a:r>
            <a:r>
              <a:rPr lang="en-US" sz="1600" b="1" u="sng" baseline="0">
                <a:solidFill>
                  <a:schemeClr val="accent3">
                    <a:lumMod val="50000"/>
                  </a:schemeClr>
                </a:solidFill>
                <a:latin typeface="Arial Rounded MT Bold" panose="020F0704030504030204" pitchFamily="34" charset="0"/>
              </a:rPr>
              <a:t>n</a:t>
            </a:r>
            <a:r>
              <a:rPr lang="en-US" sz="1600" b="1" u="sng">
                <a:solidFill>
                  <a:schemeClr val="accent3">
                    <a:lumMod val="50000"/>
                  </a:schemeClr>
                </a:solidFill>
                <a:latin typeface="Arial Rounded MT Bold" panose="020F0704030504030204" pitchFamily="34" charset="0"/>
              </a:rPr>
              <a:t>didates</a:t>
            </a:r>
            <a:r>
              <a:rPr lang="en-US" sz="1600" b="1" u="sng" baseline="0">
                <a:solidFill>
                  <a:schemeClr val="accent3">
                    <a:lumMod val="50000"/>
                  </a:schemeClr>
                </a:solidFill>
                <a:latin typeface="Arial Rounded MT Bold" panose="020F0704030504030204" pitchFamily="34" charset="0"/>
              </a:rPr>
              <a:t> by Recruitment Source</a:t>
            </a:r>
            <a:endParaRPr lang="en-US" sz="1600" b="1" u="sng">
              <a:solidFill>
                <a:schemeClr val="accent3">
                  <a:lumMod val="50000"/>
                </a:schemeClr>
              </a:solidFill>
              <a:latin typeface="Arial Rounded MT Bold" panose="020F0704030504030204" pitchFamily="34" charset="0"/>
            </a:endParaRPr>
          </a:p>
        </c:rich>
      </c:tx>
      <c:layout>
        <c:manualLayout>
          <c:xMode val="edge"/>
          <c:yMode val="edge"/>
          <c:x val="0.18526065194231672"/>
          <c:y val="4.1423956664670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2700000" scaled="1"/>
            <a:tileRect/>
          </a:gradFill>
          <a:ln>
            <a:gradFill flip="none" rotWithShape="1">
              <a:gsLst>
                <a:gs pos="34000">
                  <a:schemeClr val="accent3">
                    <a:lumMod val="40000"/>
                    <a:lumOff val="60000"/>
                  </a:schemeClr>
                </a:gs>
                <a:gs pos="78000">
                  <a:schemeClr val="accent3">
                    <a:lumMod val="95000"/>
                    <a:lumOff val="5000"/>
                  </a:schemeClr>
                </a:gs>
                <a:gs pos="100000">
                  <a:schemeClr val="accent3">
                    <a:lumMod val="60000"/>
                  </a:schemeClr>
                </a:gs>
              </a:gsLst>
              <a:path path="circle">
                <a:fillToRect l="50000" t="130000" r="50000" b="-3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Tables'!$B$38</c:f>
              <c:strCache>
                <c:ptCount val="1"/>
                <c:pt idx="0">
                  <c:v>Candidates</c:v>
                </c:pt>
              </c:strCache>
            </c:strRef>
          </c:tx>
          <c:spPr>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2700000" scaled="1"/>
              <a:tileRect/>
            </a:gradFill>
            <a:ln>
              <a:gradFill flip="none" rotWithShape="1">
                <a:gsLst>
                  <a:gs pos="34000">
                    <a:schemeClr val="accent3">
                      <a:lumMod val="40000"/>
                      <a:lumOff val="60000"/>
                    </a:schemeClr>
                  </a:gs>
                  <a:gs pos="78000">
                    <a:schemeClr val="accent3">
                      <a:lumMod val="95000"/>
                      <a:lumOff val="5000"/>
                    </a:schemeClr>
                  </a:gs>
                  <a:gs pos="100000">
                    <a:schemeClr val="accent3">
                      <a:lumMod val="60000"/>
                    </a:schemeClr>
                  </a:gs>
                </a:gsLst>
                <a:path path="circle">
                  <a:fillToRect l="50000" t="130000" r="50000" b="-30000"/>
                </a:path>
                <a:tileRect/>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Tables'!$A$39:$A$45</c:f>
              <c:strCache>
                <c:ptCount val="6"/>
                <c:pt idx="0">
                  <c:v>Campus Hiring</c:v>
                </c:pt>
                <c:pt idx="1">
                  <c:v>Company Website</c:v>
                </c:pt>
                <c:pt idx="2">
                  <c:v>Employee Referral</c:v>
                </c:pt>
                <c:pt idx="3">
                  <c:v>Job Portal</c:v>
                </c:pt>
                <c:pt idx="4">
                  <c:v>LinkedIn</c:v>
                </c:pt>
                <c:pt idx="5">
                  <c:v>Social Media</c:v>
                </c:pt>
              </c:strCache>
            </c:strRef>
          </c:cat>
          <c:val>
            <c:numRef>
              <c:f>'Pivot Tables'!$B$39:$B$45</c:f>
              <c:numCache>
                <c:formatCode>General</c:formatCode>
                <c:ptCount val="6"/>
                <c:pt idx="0">
                  <c:v>107</c:v>
                </c:pt>
                <c:pt idx="1">
                  <c:v>96</c:v>
                </c:pt>
                <c:pt idx="2">
                  <c:v>154</c:v>
                </c:pt>
                <c:pt idx="3">
                  <c:v>117</c:v>
                </c:pt>
                <c:pt idx="4">
                  <c:v>212</c:v>
                </c:pt>
                <c:pt idx="5">
                  <c:v>64</c:v>
                </c:pt>
              </c:numCache>
            </c:numRef>
          </c:val>
          <c:extLst>
            <c:ext xmlns:c16="http://schemas.microsoft.com/office/drawing/2014/chart" uri="{C3380CC4-5D6E-409C-BE32-E72D297353CC}">
              <c16:uniqueId val="{00000000-3209-4A24-8482-019248796C2C}"/>
            </c:ext>
          </c:extLst>
        </c:ser>
        <c:ser>
          <c:idx val="1"/>
          <c:order val="1"/>
          <c:tx>
            <c:strRef>
              <c:f>'Pivot Tables'!$C$38</c:f>
              <c:strCache>
                <c:ptCount val="1"/>
                <c:pt idx="0">
                  <c:v>Selected</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Tables'!$A$39:$A$45</c:f>
              <c:strCache>
                <c:ptCount val="6"/>
                <c:pt idx="0">
                  <c:v>Campus Hiring</c:v>
                </c:pt>
                <c:pt idx="1">
                  <c:v>Company Website</c:v>
                </c:pt>
                <c:pt idx="2">
                  <c:v>Employee Referral</c:v>
                </c:pt>
                <c:pt idx="3">
                  <c:v>Job Portal</c:v>
                </c:pt>
                <c:pt idx="4">
                  <c:v>LinkedIn</c:v>
                </c:pt>
                <c:pt idx="5">
                  <c:v>Social Media</c:v>
                </c:pt>
              </c:strCache>
            </c:strRef>
          </c:cat>
          <c:val>
            <c:numRef>
              <c:f>'Pivot Tables'!$C$39:$C$45</c:f>
              <c:numCache>
                <c:formatCode>General</c:formatCode>
                <c:ptCount val="6"/>
                <c:pt idx="0">
                  <c:v>11</c:v>
                </c:pt>
                <c:pt idx="1">
                  <c:v>7</c:v>
                </c:pt>
                <c:pt idx="2">
                  <c:v>20</c:v>
                </c:pt>
                <c:pt idx="3">
                  <c:v>19</c:v>
                </c:pt>
                <c:pt idx="4">
                  <c:v>19</c:v>
                </c:pt>
                <c:pt idx="5">
                  <c:v>4</c:v>
                </c:pt>
              </c:numCache>
            </c:numRef>
          </c:val>
          <c:extLst>
            <c:ext xmlns:c16="http://schemas.microsoft.com/office/drawing/2014/chart" uri="{C3380CC4-5D6E-409C-BE32-E72D297353CC}">
              <c16:uniqueId val="{00000001-3209-4A24-8482-019248796C2C}"/>
            </c:ext>
          </c:extLst>
        </c:ser>
        <c:dLbls>
          <c:dLblPos val="outEnd"/>
          <c:showLegendKey val="0"/>
          <c:showVal val="1"/>
          <c:showCatName val="0"/>
          <c:showSerName val="0"/>
          <c:showPercent val="0"/>
          <c:showBubbleSize val="0"/>
        </c:dLbls>
        <c:gapWidth val="219"/>
        <c:overlap val="-27"/>
        <c:axId val="348883392"/>
        <c:axId val="280486656"/>
      </c:barChart>
      <c:catAx>
        <c:axId val="348883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tx1">
                    <a:lumMod val="65000"/>
                    <a:lumOff val="35000"/>
                  </a:schemeClr>
                </a:solidFill>
                <a:latin typeface="+mn-lt"/>
                <a:ea typeface="+mn-ea"/>
                <a:cs typeface="+mn-cs"/>
              </a:defRPr>
            </a:pPr>
            <a:endParaRPr lang="en-US"/>
          </a:p>
        </c:txPr>
        <c:crossAx val="280486656"/>
        <c:crosses val="autoZero"/>
        <c:auto val="1"/>
        <c:lblAlgn val="ctr"/>
        <c:lblOffset val="100"/>
        <c:noMultiLvlLbl val="0"/>
      </c:catAx>
      <c:valAx>
        <c:axId val="280486656"/>
        <c:scaling>
          <c:orientation val="minMax"/>
        </c:scaling>
        <c:delete val="1"/>
        <c:axPos val="l"/>
        <c:numFmt formatCode="General" sourceLinked="1"/>
        <c:majorTickMark val="none"/>
        <c:minorTickMark val="none"/>
        <c:tickLblPos val="nextTo"/>
        <c:crossAx val="34888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[recruitment_mis_dataset.xlsx]Pivot Tables!PivotTable5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u="sng">
                <a:solidFill>
                  <a:schemeClr val="bg2">
                    <a:lumMod val="10000"/>
                  </a:schemeClr>
                </a:solidFill>
                <a:latin typeface="Arial Rounded MT Bold" panose="020F0704030504030204" pitchFamily="34" charset="0"/>
              </a:rPr>
              <a:t>Monthly Recruitment Analysis</a:t>
            </a:r>
          </a:p>
        </c:rich>
      </c:tx>
      <c:layout>
        <c:manualLayout>
          <c:xMode val="edge"/>
          <c:yMode val="edge"/>
          <c:x val="0.21318744531933506"/>
          <c:y val="1.38888888888888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bg2">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4">
                <a:lumMod val="75000"/>
              </a:schemeClr>
            </a:solidFill>
            <a:round/>
          </a:ln>
          <a:effectLst>
            <a:outerShdw blurRad="40000" dist="23000" dir="5400000" rotWithShape="0">
              <a:srgbClr val="000000">
                <a:alpha val="35000"/>
              </a:srgbClr>
            </a:outerShdw>
          </a:effectLst>
        </c:spPr>
        <c:marker>
          <c:symbol val="circle"/>
          <c:size val="6"/>
          <c:spPr>
            <a:solidFill>
              <a:schemeClr val="tx1">
                <a:lumMod val="95000"/>
                <a:lumOff val="5000"/>
              </a:schemeClr>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2E-2"/>
          <c:y val="0.16449074074074077"/>
          <c:w val="0.63356867891513557"/>
          <c:h val="0.70959135316418775"/>
        </c:manualLayout>
      </c:layout>
      <c:lineChart>
        <c:grouping val="standard"/>
        <c:varyColors val="0"/>
        <c:ser>
          <c:idx val="0"/>
          <c:order val="0"/>
          <c:tx>
            <c:strRef>
              <c:f>'Pivot Tables'!$B$3</c:f>
              <c:strCache>
                <c:ptCount val="1"/>
                <c:pt idx="0">
                  <c:v> Candidates</c:v>
                </c:pt>
              </c:strCache>
            </c:strRef>
          </c:tx>
          <c:spPr>
            <a:ln w="34925" cap="rnd">
              <a:solidFill>
                <a:schemeClr val="bg2">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Tables'!$A$4:$A$13</c:f>
              <c:strCache>
                <c:ptCount val="9"/>
                <c:pt idx="0">
                  <c:v>Jan</c:v>
                </c:pt>
                <c:pt idx="1">
                  <c:v>Feb</c:v>
                </c:pt>
                <c:pt idx="2">
                  <c:v>Mar</c:v>
                </c:pt>
                <c:pt idx="3">
                  <c:v>Apr</c:v>
                </c:pt>
                <c:pt idx="4">
                  <c:v>May</c:v>
                </c:pt>
                <c:pt idx="5">
                  <c:v>Jun</c:v>
                </c:pt>
                <c:pt idx="6">
                  <c:v>Jul</c:v>
                </c:pt>
                <c:pt idx="7">
                  <c:v>Aug</c:v>
                </c:pt>
                <c:pt idx="8">
                  <c:v>Sep</c:v>
                </c:pt>
              </c:strCache>
            </c:strRef>
          </c:cat>
          <c:val>
            <c:numRef>
              <c:f>'Pivot Tables'!$B$4:$B$13</c:f>
              <c:numCache>
                <c:formatCode>General</c:formatCode>
                <c:ptCount val="9"/>
                <c:pt idx="0">
                  <c:v>80</c:v>
                </c:pt>
                <c:pt idx="1">
                  <c:v>67</c:v>
                </c:pt>
                <c:pt idx="2">
                  <c:v>81</c:v>
                </c:pt>
                <c:pt idx="3">
                  <c:v>93</c:v>
                </c:pt>
                <c:pt idx="4">
                  <c:v>87</c:v>
                </c:pt>
                <c:pt idx="5">
                  <c:v>94</c:v>
                </c:pt>
                <c:pt idx="6">
                  <c:v>95</c:v>
                </c:pt>
                <c:pt idx="7">
                  <c:v>88</c:v>
                </c:pt>
                <c:pt idx="8">
                  <c:v>65</c:v>
                </c:pt>
              </c:numCache>
            </c:numRef>
          </c:val>
          <c:smooth val="0"/>
          <c:extLst>
            <c:ext xmlns:c16="http://schemas.microsoft.com/office/drawing/2014/chart" uri="{C3380CC4-5D6E-409C-BE32-E72D297353CC}">
              <c16:uniqueId val="{00000000-358D-4AC0-9F3D-DD247D79F90F}"/>
            </c:ext>
          </c:extLst>
        </c:ser>
        <c:ser>
          <c:idx val="1"/>
          <c:order val="1"/>
          <c:tx>
            <c:strRef>
              <c:f>'Pivot Tables'!$C$3</c:f>
              <c:strCache>
                <c:ptCount val="1"/>
                <c:pt idx="0">
                  <c:v>Selected Candidates</c:v>
                </c:pt>
              </c:strCache>
            </c:strRef>
          </c:tx>
          <c:spPr>
            <a:ln w="34925" cap="rnd">
              <a:solidFill>
                <a:schemeClr val="accent4">
                  <a:lumMod val="75000"/>
                </a:schemeClr>
              </a:solidFill>
              <a:round/>
            </a:ln>
            <a:effectLst>
              <a:outerShdw blurRad="40000" dist="23000" dir="5400000" rotWithShape="0">
                <a:srgbClr val="000000">
                  <a:alpha val="35000"/>
                </a:srgbClr>
              </a:outerShdw>
            </a:effectLst>
          </c:spPr>
          <c:marker>
            <c:symbol val="circle"/>
            <c:size val="6"/>
            <c:spPr>
              <a:solidFill>
                <a:schemeClr val="tx1">
                  <a:lumMod val="95000"/>
                  <a:lumOff val="5000"/>
                </a:schemeClr>
              </a:solidFill>
              <a:ln w="9525">
                <a:solidFill>
                  <a:schemeClr val="bg2">
                    <a:lumMod val="1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Tables'!$A$4:$A$13</c:f>
              <c:strCache>
                <c:ptCount val="9"/>
                <c:pt idx="0">
                  <c:v>Jan</c:v>
                </c:pt>
                <c:pt idx="1">
                  <c:v>Feb</c:v>
                </c:pt>
                <c:pt idx="2">
                  <c:v>Mar</c:v>
                </c:pt>
                <c:pt idx="3">
                  <c:v>Apr</c:v>
                </c:pt>
                <c:pt idx="4">
                  <c:v>May</c:v>
                </c:pt>
                <c:pt idx="5">
                  <c:v>Jun</c:v>
                </c:pt>
                <c:pt idx="6">
                  <c:v>Jul</c:v>
                </c:pt>
                <c:pt idx="7">
                  <c:v>Aug</c:v>
                </c:pt>
                <c:pt idx="8">
                  <c:v>Sep</c:v>
                </c:pt>
              </c:strCache>
            </c:strRef>
          </c:cat>
          <c:val>
            <c:numRef>
              <c:f>'Pivot Tables'!$C$4:$C$13</c:f>
              <c:numCache>
                <c:formatCode>General</c:formatCode>
                <c:ptCount val="9"/>
                <c:pt idx="0">
                  <c:v>9</c:v>
                </c:pt>
                <c:pt idx="1">
                  <c:v>4</c:v>
                </c:pt>
                <c:pt idx="2">
                  <c:v>9</c:v>
                </c:pt>
                <c:pt idx="3">
                  <c:v>16</c:v>
                </c:pt>
                <c:pt idx="4">
                  <c:v>10</c:v>
                </c:pt>
                <c:pt idx="5">
                  <c:v>10</c:v>
                </c:pt>
                <c:pt idx="6">
                  <c:v>7</c:v>
                </c:pt>
                <c:pt idx="7">
                  <c:v>8</c:v>
                </c:pt>
                <c:pt idx="8">
                  <c:v>7</c:v>
                </c:pt>
              </c:numCache>
            </c:numRef>
          </c:val>
          <c:smooth val="0"/>
          <c:extLst>
            <c:ext xmlns:c16="http://schemas.microsoft.com/office/drawing/2014/chart" uri="{C3380CC4-5D6E-409C-BE32-E72D297353CC}">
              <c16:uniqueId val="{00000001-358D-4AC0-9F3D-DD247D79F90F}"/>
            </c:ext>
          </c:extLst>
        </c:ser>
        <c:dLbls>
          <c:dLblPos val="t"/>
          <c:showLegendKey val="0"/>
          <c:showVal val="1"/>
          <c:showCatName val="0"/>
          <c:showSerName val="0"/>
          <c:showPercent val="0"/>
          <c:showBubbleSize val="0"/>
        </c:dLbls>
        <c:marker val="1"/>
        <c:smooth val="0"/>
        <c:axId val="1488307343"/>
        <c:axId val="1432391519"/>
      </c:lineChart>
      <c:catAx>
        <c:axId val="14883073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391519"/>
        <c:crosses val="autoZero"/>
        <c:auto val="1"/>
        <c:lblAlgn val="ctr"/>
        <c:lblOffset val="100"/>
        <c:noMultiLvlLbl val="0"/>
      </c:catAx>
      <c:valAx>
        <c:axId val="14323915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88307343"/>
        <c:crosses val="autoZero"/>
        <c:crossBetween val="between"/>
      </c:valAx>
      <c:spPr>
        <a:noFill/>
        <a:ln>
          <a:noFill/>
        </a:ln>
        <a:effectLst/>
      </c:spPr>
    </c:plotArea>
    <c:legend>
      <c:legendPos val="r"/>
      <c:layout>
        <c:manualLayout>
          <c:xMode val="edge"/>
          <c:yMode val="edge"/>
          <c:x val="0.71134645669291341"/>
          <c:y val="0.48791593759113433"/>
          <c:w val="0.28865353796066656"/>
          <c:h val="0.15118273539635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200025</xdr:colOff>
      <xdr:row>4</xdr:row>
      <xdr:rowOff>104775</xdr:rowOff>
    </xdr:from>
    <xdr:to>
      <xdr:col>1</xdr:col>
      <xdr:colOff>1352550</xdr:colOff>
      <xdr:row>6</xdr:row>
      <xdr:rowOff>19050</xdr:rowOff>
    </xdr:to>
    <xdr:sp macro="" textlink="">
      <xdr:nvSpPr>
        <xdr:cNvPr id="2" name="Rectangle 1">
          <a:extLst>
            <a:ext uri="{FF2B5EF4-FFF2-40B4-BE49-F238E27FC236}">
              <a16:creationId xmlns:a16="http://schemas.microsoft.com/office/drawing/2014/main" id="{E30A56C5-7583-B104-C37D-5F53F7266191}"/>
            </a:ext>
          </a:extLst>
        </xdr:cNvPr>
        <xdr:cNvSpPr/>
      </xdr:nvSpPr>
      <xdr:spPr>
        <a:xfrm>
          <a:off x="200025" y="866775"/>
          <a:ext cx="1619250" cy="67627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2">
                  <a:lumMod val="50000"/>
                </a:schemeClr>
              </a:solidFill>
              <a:latin typeface="Arial Rounded MT Bold" panose="020F0704030504030204" pitchFamily="34" charset="0"/>
            </a:rPr>
            <a:t>Total</a:t>
          </a:r>
          <a:r>
            <a:rPr lang="en-US" sz="1400" b="1" baseline="0">
              <a:solidFill>
                <a:schemeClr val="tx2">
                  <a:lumMod val="50000"/>
                </a:schemeClr>
              </a:solidFill>
              <a:latin typeface="Arial Rounded MT Bold" panose="020F0704030504030204" pitchFamily="34" charset="0"/>
            </a:rPr>
            <a:t> Candidate</a:t>
          </a:r>
        </a:p>
        <a:p>
          <a:pPr algn="ctr"/>
          <a:r>
            <a:rPr lang="en-US" sz="2400" b="1" baseline="0">
              <a:solidFill>
                <a:schemeClr val="tx1">
                  <a:lumMod val="95000"/>
                  <a:lumOff val="5000"/>
                </a:schemeClr>
              </a:solidFill>
            </a:rPr>
            <a:t>750</a:t>
          </a:r>
        </a:p>
        <a:p>
          <a:pPr algn="l"/>
          <a:endParaRPr lang="en-US" sz="1100"/>
        </a:p>
      </xdr:txBody>
    </xdr:sp>
    <xdr:clientData/>
  </xdr:twoCellAnchor>
  <xdr:twoCellAnchor>
    <xdr:from>
      <xdr:col>2</xdr:col>
      <xdr:colOff>104775</xdr:colOff>
      <xdr:row>4</xdr:row>
      <xdr:rowOff>104775</xdr:rowOff>
    </xdr:from>
    <xdr:to>
      <xdr:col>3</xdr:col>
      <xdr:colOff>342900</xdr:colOff>
      <xdr:row>6</xdr:row>
      <xdr:rowOff>19050</xdr:rowOff>
    </xdr:to>
    <xdr:sp macro="" textlink="">
      <xdr:nvSpPr>
        <xdr:cNvPr id="3" name="Rectangle 2">
          <a:extLst>
            <a:ext uri="{FF2B5EF4-FFF2-40B4-BE49-F238E27FC236}">
              <a16:creationId xmlns:a16="http://schemas.microsoft.com/office/drawing/2014/main" id="{1F15F9D0-4599-43A2-BC76-2DDB54D0B457}"/>
            </a:ext>
          </a:extLst>
        </xdr:cNvPr>
        <xdr:cNvSpPr/>
      </xdr:nvSpPr>
      <xdr:spPr>
        <a:xfrm>
          <a:off x="1952625" y="866775"/>
          <a:ext cx="1619250" cy="67627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2">
                  <a:lumMod val="50000"/>
                </a:schemeClr>
              </a:solidFill>
              <a:latin typeface="Arial Rounded MT Bold" panose="020F0704030504030204" pitchFamily="34" charset="0"/>
            </a:rPr>
            <a:t>Total</a:t>
          </a:r>
          <a:r>
            <a:rPr lang="en-US" sz="1400" b="1" baseline="0">
              <a:solidFill>
                <a:schemeClr val="tx2">
                  <a:lumMod val="50000"/>
                </a:schemeClr>
              </a:solidFill>
              <a:latin typeface="Arial Rounded MT Bold" panose="020F0704030504030204" pitchFamily="34" charset="0"/>
            </a:rPr>
            <a:t> Selected</a:t>
          </a:r>
        </a:p>
        <a:p>
          <a:pPr algn="ctr"/>
          <a:r>
            <a:rPr lang="en-US" sz="2400" b="1" baseline="0">
              <a:solidFill>
                <a:schemeClr val="tx1">
                  <a:lumMod val="95000"/>
                  <a:lumOff val="5000"/>
                </a:schemeClr>
              </a:solidFill>
            </a:rPr>
            <a:t>80</a:t>
          </a:r>
        </a:p>
        <a:p>
          <a:pPr algn="l"/>
          <a:endParaRPr lang="en-US" sz="1100"/>
        </a:p>
      </xdr:txBody>
    </xdr:sp>
    <xdr:clientData/>
  </xdr:twoCellAnchor>
  <xdr:twoCellAnchor>
    <xdr:from>
      <xdr:col>3</xdr:col>
      <xdr:colOff>495300</xdr:colOff>
      <xdr:row>4</xdr:row>
      <xdr:rowOff>104775</xdr:rowOff>
    </xdr:from>
    <xdr:to>
      <xdr:col>4</xdr:col>
      <xdr:colOff>733425</xdr:colOff>
      <xdr:row>6</xdr:row>
      <xdr:rowOff>19050</xdr:rowOff>
    </xdr:to>
    <xdr:sp macro="" textlink="">
      <xdr:nvSpPr>
        <xdr:cNvPr id="4" name="Rectangle 3">
          <a:extLst>
            <a:ext uri="{FF2B5EF4-FFF2-40B4-BE49-F238E27FC236}">
              <a16:creationId xmlns:a16="http://schemas.microsoft.com/office/drawing/2014/main" id="{86ABAB34-00DB-47AE-AB22-01C1EA33B0F0}"/>
            </a:ext>
          </a:extLst>
        </xdr:cNvPr>
        <xdr:cNvSpPr/>
      </xdr:nvSpPr>
      <xdr:spPr>
        <a:xfrm>
          <a:off x="3724275" y="866775"/>
          <a:ext cx="1619250" cy="67627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2">
                  <a:lumMod val="50000"/>
                </a:schemeClr>
              </a:solidFill>
              <a:latin typeface="Arial Rounded MT Bold" panose="020F0704030504030204" pitchFamily="34" charset="0"/>
            </a:rPr>
            <a:t>Total</a:t>
          </a:r>
          <a:r>
            <a:rPr lang="en-US" sz="1400" b="1" baseline="0">
              <a:solidFill>
                <a:schemeClr val="tx2">
                  <a:lumMod val="50000"/>
                </a:schemeClr>
              </a:solidFill>
              <a:latin typeface="Arial Rounded MT Bold" panose="020F0704030504030204" pitchFamily="34" charset="0"/>
            </a:rPr>
            <a:t> Rejected</a:t>
          </a:r>
        </a:p>
        <a:p>
          <a:pPr algn="ctr"/>
          <a:r>
            <a:rPr lang="en-US" sz="2400" b="1" baseline="0">
              <a:solidFill>
                <a:schemeClr val="tx1">
                  <a:lumMod val="95000"/>
                  <a:lumOff val="5000"/>
                </a:schemeClr>
              </a:solidFill>
            </a:rPr>
            <a:t>540</a:t>
          </a:r>
        </a:p>
        <a:p>
          <a:pPr algn="l"/>
          <a:endParaRPr lang="en-US" sz="1100"/>
        </a:p>
      </xdr:txBody>
    </xdr:sp>
    <xdr:clientData/>
  </xdr:twoCellAnchor>
  <xdr:twoCellAnchor>
    <xdr:from>
      <xdr:col>4</xdr:col>
      <xdr:colOff>885825</xdr:colOff>
      <xdr:row>4</xdr:row>
      <xdr:rowOff>104775</xdr:rowOff>
    </xdr:from>
    <xdr:to>
      <xdr:col>5</xdr:col>
      <xdr:colOff>1123950</xdr:colOff>
      <xdr:row>6</xdr:row>
      <xdr:rowOff>19050</xdr:rowOff>
    </xdr:to>
    <xdr:sp macro="" textlink="">
      <xdr:nvSpPr>
        <xdr:cNvPr id="5" name="Rectangle 4">
          <a:extLst>
            <a:ext uri="{FF2B5EF4-FFF2-40B4-BE49-F238E27FC236}">
              <a16:creationId xmlns:a16="http://schemas.microsoft.com/office/drawing/2014/main" id="{D207407C-B4A4-41CD-B320-379BF4331545}"/>
            </a:ext>
          </a:extLst>
        </xdr:cNvPr>
        <xdr:cNvSpPr/>
      </xdr:nvSpPr>
      <xdr:spPr>
        <a:xfrm>
          <a:off x="5495925" y="866775"/>
          <a:ext cx="1619250" cy="67627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2">
                  <a:lumMod val="50000"/>
                </a:schemeClr>
              </a:solidFill>
              <a:latin typeface="Arial Rounded MT Bold" panose="020F0704030504030204" pitchFamily="34" charset="0"/>
            </a:rPr>
            <a:t>Total</a:t>
          </a:r>
          <a:r>
            <a:rPr lang="en-US" sz="1400" b="1" baseline="0">
              <a:solidFill>
                <a:schemeClr val="tx2">
                  <a:lumMod val="50000"/>
                </a:schemeClr>
              </a:solidFill>
              <a:latin typeface="Arial Rounded MT Bold" panose="020F0704030504030204" pitchFamily="34" charset="0"/>
            </a:rPr>
            <a:t> In Process</a:t>
          </a:r>
        </a:p>
        <a:p>
          <a:pPr algn="ctr"/>
          <a:r>
            <a:rPr lang="en-US" sz="2400" b="1" baseline="0">
              <a:solidFill>
                <a:schemeClr val="tx1">
                  <a:lumMod val="95000"/>
                  <a:lumOff val="5000"/>
                </a:schemeClr>
              </a:solidFill>
            </a:rPr>
            <a:t>130</a:t>
          </a:r>
        </a:p>
        <a:p>
          <a:pPr algn="l"/>
          <a:endParaRPr lang="en-US" sz="1100"/>
        </a:p>
      </xdr:txBody>
    </xdr:sp>
    <xdr:clientData/>
  </xdr:twoCellAnchor>
  <xdr:twoCellAnchor>
    <xdr:from>
      <xdr:col>5</xdr:col>
      <xdr:colOff>1304925</xdr:colOff>
      <xdr:row>4</xdr:row>
      <xdr:rowOff>104775</xdr:rowOff>
    </xdr:from>
    <xdr:to>
      <xdr:col>7</xdr:col>
      <xdr:colOff>161925</xdr:colOff>
      <xdr:row>6</xdr:row>
      <xdr:rowOff>19050</xdr:rowOff>
    </xdr:to>
    <xdr:sp macro="" textlink="">
      <xdr:nvSpPr>
        <xdr:cNvPr id="6" name="Rectangle 5">
          <a:extLst>
            <a:ext uri="{FF2B5EF4-FFF2-40B4-BE49-F238E27FC236}">
              <a16:creationId xmlns:a16="http://schemas.microsoft.com/office/drawing/2014/main" id="{34570F6C-F953-4F6D-9644-EF60B23E17C5}"/>
            </a:ext>
          </a:extLst>
        </xdr:cNvPr>
        <xdr:cNvSpPr/>
      </xdr:nvSpPr>
      <xdr:spPr>
        <a:xfrm>
          <a:off x="7296150" y="866775"/>
          <a:ext cx="1619250" cy="67627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baseline="0">
              <a:solidFill>
                <a:schemeClr val="tx2">
                  <a:lumMod val="50000"/>
                </a:schemeClr>
              </a:solidFill>
              <a:latin typeface="Arial Rounded MT Bold" panose="020F0704030504030204" pitchFamily="34" charset="0"/>
            </a:rPr>
            <a:t>Selection Rate</a:t>
          </a:r>
        </a:p>
        <a:p>
          <a:pPr algn="ctr"/>
          <a:r>
            <a:rPr lang="en-US" sz="2400" b="1" baseline="0">
              <a:solidFill>
                <a:schemeClr val="tx1">
                  <a:lumMod val="95000"/>
                  <a:lumOff val="5000"/>
                </a:schemeClr>
              </a:solidFill>
              <a:latin typeface="+mn-lt"/>
              <a:ea typeface="+mn-ea"/>
              <a:cs typeface="+mn-cs"/>
            </a:rPr>
            <a:t>10.67</a:t>
          </a:r>
          <a:r>
            <a:rPr lang="en-US" sz="1800" b="1" i="0" u="none" strike="noStrike">
              <a:solidFill>
                <a:schemeClr val="tx1"/>
              </a:solidFill>
              <a:effectLst/>
              <a:latin typeface="Arial Black" panose="020B0A04020102020204" pitchFamily="34" charset="0"/>
              <a:ea typeface="+mn-ea"/>
              <a:cs typeface="+mn-cs"/>
            </a:rPr>
            <a:t>%</a:t>
          </a:r>
          <a:r>
            <a:rPr lang="en-US" sz="2400">
              <a:effectLst/>
            </a:rPr>
            <a:t> </a:t>
          </a:r>
          <a:endParaRPr lang="en-US" sz="2400" b="1" baseline="0">
            <a:solidFill>
              <a:schemeClr val="tx1">
                <a:lumMod val="95000"/>
                <a:lumOff val="5000"/>
              </a:schemeClr>
            </a:solidFill>
          </a:endParaRPr>
        </a:p>
        <a:p>
          <a:pPr algn="l"/>
          <a:endParaRPr lang="en-US" sz="1100"/>
        </a:p>
      </xdr:txBody>
    </xdr:sp>
    <xdr:clientData/>
  </xdr:twoCellAnchor>
  <xdr:twoCellAnchor>
    <xdr:from>
      <xdr:col>7</xdr:col>
      <xdr:colOff>323850</xdr:colOff>
      <xdr:row>4</xdr:row>
      <xdr:rowOff>104775</xdr:rowOff>
    </xdr:from>
    <xdr:to>
      <xdr:col>8</xdr:col>
      <xdr:colOff>809625</xdr:colOff>
      <xdr:row>6</xdr:row>
      <xdr:rowOff>19050</xdr:rowOff>
    </xdr:to>
    <xdr:sp macro="" textlink="">
      <xdr:nvSpPr>
        <xdr:cNvPr id="8" name="Rectangle 7">
          <a:extLst>
            <a:ext uri="{FF2B5EF4-FFF2-40B4-BE49-F238E27FC236}">
              <a16:creationId xmlns:a16="http://schemas.microsoft.com/office/drawing/2014/main" id="{C4A13FEB-73C5-4370-8305-E89436CBA0C8}"/>
            </a:ext>
          </a:extLst>
        </xdr:cNvPr>
        <xdr:cNvSpPr/>
      </xdr:nvSpPr>
      <xdr:spPr>
        <a:xfrm>
          <a:off x="9077325" y="866775"/>
          <a:ext cx="1866900" cy="67627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baseline="0">
              <a:solidFill>
                <a:schemeClr val="tx2">
                  <a:lumMod val="50000"/>
                </a:schemeClr>
              </a:solidFill>
              <a:latin typeface="Arial Rounded MT Bold" panose="020F0704030504030204" pitchFamily="34" charset="0"/>
            </a:rPr>
            <a:t>Joined Candidates</a:t>
          </a:r>
        </a:p>
        <a:p>
          <a:pPr algn="ctr"/>
          <a:r>
            <a:rPr lang="en-US" sz="2400" b="1" i="0" u="none" strike="noStrike">
              <a:solidFill>
                <a:schemeClr val="tx1"/>
              </a:solidFill>
              <a:effectLst/>
              <a:latin typeface="Arial Rounded MT Bold" panose="020F0704030504030204" pitchFamily="34" charset="0"/>
              <a:ea typeface="+mn-ea"/>
              <a:cs typeface="+mn-cs"/>
            </a:rPr>
            <a:t>61</a:t>
          </a:r>
          <a:r>
            <a:rPr lang="en-US">
              <a:effectLst/>
              <a:latin typeface="Arial Rounded MT Bold" panose="020F0704030504030204" pitchFamily="34" charset="0"/>
            </a:rPr>
            <a:t> </a:t>
          </a:r>
          <a:endParaRPr lang="en-US" sz="1100">
            <a:latin typeface="Arial Rounded MT Bold" panose="020F0704030504030204" pitchFamily="34" charset="0"/>
          </a:endParaRPr>
        </a:p>
      </xdr:txBody>
    </xdr:sp>
    <xdr:clientData/>
  </xdr:twoCellAnchor>
  <xdr:twoCellAnchor>
    <xdr:from>
      <xdr:col>0</xdr:col>
      <xdr:colOff>171450</xdr:colOff>
      <xdr:row>17</xdr:row>
      <xdr:rowOff>38099</xdr:rowOff>
    </xdr:from>
    <xdr:to>
      <xdr:col>4</xdr:col>
      <xdr:colOff>400050</xdr:colOff>
      <xdr:row>31</xdr:row>
      <xdr:rowOff>114300</xdr:rowOff>
    </xdr:to>
    <xdr:graphicFrame macro="">
      <xdr:nvGraphicFramePr>
        <xdr:cNvPr id="7" name="Chart 6">
          <a:extLst>
            <a:ext uri="{FF2B5EF4-FFF2-40B4-BE49-F238E27FC236}">
              <a16:creationId xmlns:a16="http://schemas.microsoft.com/office/drawing/2014/main" id="{5BA5E38F-5D4C-4630-BD9B-72AC72026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742463</xdr:colOff>
      <xdr:row>17</xdr:row>
      <xdr:rowOff>72048</xdr:rowOff>
    </xdr:from>
    <xdr:to>
      <xdr:col>7</xdr:col>
      <xdr:colOff>942488</xdr:colOff>
      <xdr:row>31</xdr:row>
      <xdr:rowOff>148248</xdr:rowOff>
    </xdr:to>
    <xdr:graphicFrame macro="">
      <xdr:nvGraphicFramePr>
        <xdr:cNvPr id="9" name="Chart 8">
          <a:extLst>
            <a:ext uri="{FF2B5EF4-FFF2-40B4-BE49-F238E27FC236}">
              <a16:creationId xmlns:a16="http://schemas.microsoft.com/office/drawing/2014/main" id="{47816FB2-8621-4B24-82E4-0B67EDCEC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161925</xdr:colOff>
      <xdr:row>32</xdr:row>
      <xdr:rowOff>19051</xdr:rowOff>
    </xdr:from>
    <xdr:to>
      <xdr:col>4</xdr:col>
      <xdr:colOff>419100</xdr:colOff>
      <xdr:row>46</xdr:row>
      <xdr:rowOff>133351</xdr:rowOff>
    </xdr:to>
    <xdr:graphicFrame macro="">
      <xdr:nvGraphicFramePr>
        <xdr:cNvPr id="11" name="Chart 10">
          <a:extLst>
            <a:ext uri="{FF2B5EF4-FFF2-40B4-BE49-F238E27FC236}">
              <a16:creationId xmlns:a16="http://schemas.microsoft.com/office/drawing/2014/main" id="{8FA59036-49DB-4CA9-8526-A5D1F2ACC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180975</xdr:colOff>
      <xdr:row>6</xdr:row>
      <xdr:rowOff>85725</xdr:rowOff>
    </xdr:from>
    <xdr:to>
      <xdr:col>1</xdr:col>
      <xdr:colOff>1133475</xdr:colOff>
      <xdr:row>16</xdr:row>
      <xdr:rowOff>152400</xdr:rowOff>
    </xdr:to>
    <mc:AlternateContent xmlns:mc="http://schemas.openxmlformats.org/markup-compatibility/2006" xmlns:a14="http://schemas.microsoft.com/office/drawing/2010/main">
      <mc:Choice Requires="a14">
        <xdr:graphicFrame macro="">
          <xdr:nvGraphicFramePr>
            <xdr:cNvPr id="12" name="Location">
              <a:extLst>
                <a:ext uri="{FF2B5EF4-FFF2-40B4-BE49-F238E27FC236}">
                  <a16:creationId xmlns:a16="http://schemas.microsoft.com/office/drawing/2014/main" id="{BAA12950-C753-1F18-5D2E-8B5927037E5D}"/>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80975" y="1623496"/>
              <a:ext cx="1423012" cy="2017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9524</xdr:colOff>
      <xdr:row>6</xdr:row>
      <xdr:rowOff>85725</xdr:rowOff>
    </xdr:from>
    <xdr:to>
      <xdr:col>4</xdr:col>
      <xdr:colOff>657224</xdr:colOff>
      <xdr:row>16</xdr:row>
      <xdr:rowOff>152400</xdr:rowOff>
    </xdr:to>
    <mc:AlternateContent xmlns:mc="http://schemas.openxmlformats.org/markup-compatibility/2006" xmlns:a14="http://schemas.microsoft.com/office/drawing/2010/main">
      <mc:Choice Requires="a14">
        <xdr:graphicFrame macro="">
          <xdr:nvGraphicFramePr>
            <xdr:cNvPr id="13" name="Position">
              <a:extLst>
                <a:ext uri="{FF2B5EF4-FFF2-40B4-BE49-F238E27FC236}">
                  <a16:creationId xmlns:a16="http://schemas.microsoft.com/office/drawing/2014/main" id="{B19FC69E-AF1F-DB11-DB7F-77AC61CB2FD6}"/>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3234253" y="1623496"/>
              <a:ext cx="2024808" cy="2017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1333499</xdr:colOff>
      <xdr:row>6</xdr:row>
      <xdr:rowOff>85724</xdr:rowOff>
    </xdr:from>
    <xdr:to>
      <xdr:col>7</xdr:col>
      <xdr:colOff>333374</xdr:colOff>
      <xdr:row>16</xdr:row>
      <xdr:rowOff>152399</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CE827FCB-6FEB-6914-BBB3-ABE11C59D2B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12445" y="1623495"/>
              <a:ext cx="1754092" cy="2017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819150</xdr:colOff>
      <xdr:row>6</xdr:row>
      <xdr:rowOff>85726</xdr:rowOff>
    </xdr:from>
    <xdr:to>
      <xdr:col>5</xdr:col>
      <xdr:colOff>1209675</xdr:colOff>
      <xdr:row>16</xdr:row>
      <xdr:rowOff>142876</xdr:rowOff>
    </xdr:to>
    <mc:AlternateContent xmlns:mc="http://schemas.openxmlformats.org/markup-compatibility/2006" xmlns:a14="http://schemas.microsoft.com/office/drawing/2010/main">
      <mc:Choice Requires="a14">
        <xdr:graphicFrame macro="">
          <xdr:nvGraphicFramePr>
            <xdr:cNvPr id="15" name="Source">
              <a:extLst>
                <a:ext uri="{FF2B5EF4-FFF2-40B4-BE49-F238E27FC236}">
                  <a16:creationId xmlns:a16="http://schemas.microsoft.com/office/drawing/2014/main" id="{7DC478E2-7292-27D1-6451-D48FE03644F5}"/>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5420987" y="1623497"/>
              <a:ext cx="1767634" cy="2008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1266825</xdr:colOff>
      <xdr:row>6</xdr:row>
      <xdr:rowOff>85726</xdr:rowOff>
    </xdr:from>
    <xdr:to>
      <xdr:col>2</xdr:col>
      <xdr:colOff>1257300</xdr:colOff>
      <xdr:row>16</xdr:row>
      <xdr:rowOff>152400</xdr:rowOff>
    </xdr:to>
    <mc:AlternateContent xmlns:mc="http://schemas.openxmlformats.org/markup-compatibility/2006" xmlns:a14="http://schemas.microsoft.com/office/drawing/2010/main">
      <mc:Choice Requires="a14">
        <xdr:graphicFrame macro="">
          <xdr:nvGraphicFramePr>
            <xdr:cNvPr id="16" name="Recruiter">
              <a:extLst>
                <a:ext uri="{FF2B5EF4-FFF2-40B4-BE49-F238E27FC236}">
                  <a16:creationId xmlns:a16="http://schemas.microsoft.com/office/drawing/2014/main" id="{56AE77EA-E392-1DEB-160E-5D833F6201BB}"/>
                </a:ext>
              </a:extLst>
            </xdr:cNvPr>
            <xdr:cNvGraphicFramePr/>
          </xdr:nvGraphicFramePr>
          <xdr:xfrm>
            <a:off x="0" y="0"/>
            <a:ext cx="0" cy="0"/>
          </xdr:xfrm>
          <a:graphic>
            <a:graphicData uri="http://schemas.microsoft.com/office/drawing/2010/slicer">
              <sle:slicer xmlns:sle="http://schemas.microsoft.com/office/drawing/2010/slicer" name="Recruiter"/>
            </a:graphicData>
          </a:graphic>
        </xdr:graphicFrame>
      </mc:Choice>
      <mc:Fallback xmlns="">
        <xdr:sp macro="" textlink="">
          <xdr:nvSpPr>
            <xdr:cNvPr id="0" name=""/>
            <xdr:cNvSpPr>
              <a:spLocks noTextEdit="1"/>
            </xdr:cNvSpPr>
          </xdr:nvSpPr>
          <xdr:spPr>
            <a:xfrm>
              <a:off x="1737337" y="1623497"/>
              <a:ext cx="1367583" cy="2017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6</xdr:row>
      <xdr:rowOff>95250</xdr:rowOff>
    </xdr:from>
    <xdr:to>
      <xdr:col>8</xdr:col>
      <xdr:colOff>838200</xdr:colOff>
      <xdr:row>16</xdr:row>
      <xdr:rowOff>171450</xdr:rowOff>
    </xdr:to>
    <mc:AlternateContent xmlns:mc="http://schemas.openxmlformats.org/markup-compatibility/2006" xmlns:a14="http://schemas.microsoft.com/office/drawing/2010/main">
      <mc:Choice Requires="a14">
        <xdr:graphicFrame macro="">
          <xdr:nvGraphicFramePr>
            <xdr:cNvPr id="18" name="Department 1">
              <a:extLst>
                <a:ext uri="{FF2B5EF4-FFF2-40B4-BE49-F238E27FC236}">
                  <a16:creationId xmlns:a16="http://schemas.microsoft.com/office/drawing/2014/main" id="{2FCD8D5C-B064-0D60-5007-879119E503A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190363" y="1633021"/>
              <a:ext cx="1758108" cy="2027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615640</xdr:colOff>
      <xdr:row>32</xdr:row>
      <xdr:rowOff>92928</xdr:rowOff>
    </xdr:from>
    <xdr:to>
      <xdr:col>7</xdr:col>
      <xdr:colOff>755029</xdr:colOff>
      <xdr:row>51</xdr:row>
      <xdr:rowOff>69696</xdr:rowOff>
    </xdr:to>
    <xdr:sp macro="" textlink="">
      <xdr:nvSpPr>
        <xdr:cNvPr id="19" name="Rectangle 18">
          <a:extLst>
            <a:ext uri="{FF2B5EF4-FFF2-40B4-BE49-F238E27FC236}">
              <a16:creationId xmlns:a16="http://schemas.microsoft.com/office/drawing/2014/main" id="{8D9CDF19-A5C0-0587-E22B-C21A31219B37}"/>
            </a:ext>
          </a:extLst>
        </xdr:cNvPr>
        <xdr:cNvSpPr/>
      </xdr:nvSpPr>
      <xdr:spPr>
        <a:xfrm>
          <a:off x="5227134" y="6435184"/>
          <a:ext cx="4286249" cy="350798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u="sng">
              <a:solidFill>
                <a:schemeClr val="bg2">
                  <a:lumMod val="25000"/>
                </a:schemeClr>
              </a:solidFill>
              <a:latin typeface="Baskerville Old Face" panose="02020602080505020303" pitchFamily="18" charset="0"/>
            </a:rPr>
            <a:t>KEY</a:t>
          </a:r>
          <a:r>
            <a:rPr lang="en-US" sz="1800" b="1" u="sng" baseline="0">
              <a:solidFill>
                <a:schemeClr val="bg2">
                  <a:lumMod val="25000"/>
                </a:schemeClr>
              </a:solidFill>
              <a:latin typeface="Baskerville Old Face" panose="02020602080505020303" pitchFamily="18" charset="0"/>
            </a:rPr>
            <a:t> INSIGHTS</a:t>
          </a:r>
        </a:p>
        <a:p>
          <a:pPr algn="l"/>
          <a:r>
            <a:rPr lang="en-US" sz="1800">
              <a:solidFill>
                <a:schemeClr val="tx1"/>
              </a:solidFill>
            </a:rPr>
            <a:t>• Job Portals achieved the highest selection rate at </a:t>
          </a:r>
          <a:r>
            <a:rPr lang="en-US" sz="1800" b="1">
              <a:solidFill>
                <a:schemeClr val="tx1"/>
              </a:solidFill>
            </a:rPr>
            <a:t>16.2%</a:t>
          </a:r>
          <a:r>
            <a:rPr lang="en-US" sz="1800">
              <a:solidFill>
                <a:schemeClr val="tx1"/>
              </a:solidFill>
            </a:rPr>
            <a:t>.</a:t>
          </a:r>
          <a:br>
            <a:rPr lang="en-US" sz="1800">
              <a:solidFill>
                <a:schemeClr val="tx1"/>
              </a:solidFill>
            </a:rPr>
          </a:br>
          <a:r>
            <a:rPr lang="en-US" sz="1800">
              <a:solidFill>
                <a:schemeClr val="tx1"/>
              </a:solidFill>
            </a:rPr>
            <a:t>• LinkedIn generated the highest candidate volume (</a:t>
          </a:r>
          <a:r>
            <a:rPr lang="en-US" sz="1800" b="1">
              <a:solidFill>
                <a:schemeClr val="tx1"/>
              </a:solidFill>
            </a:rPr>
            <a:t>212</a:t>
          </a:r>
          <a:r>
            <a:rPr lang="en-US" sz="1800">
              <a:solidFill>
                <a:schemeClr val="tx1"/>
              </a:solidFill>
            </a:rPr>
            <a:t>) but had a </a:t>
          </a:r>
          <a:r>
            <a:rPr lang="en-US" sz="1800" b="1">
              <a:solidFill>
                <a:schemeClr val="tx1"/>
              </a:solidFill>
            </a:rPr>
            <a:t>9.0% selection rate</a:t>
          </a:r>
          <a:r>
            <a:rPr lang="en-US" sz="1800">
              <a:solidFill>
                <a:schemeClr val="tx1"/>
              </a:solidFill>
            </a:rPr>
            <a:t>.</a:t>
          </a:r>
          <a:br>
            <a:rPr lang="en-US" sz="1800">
              <a:solidFill>
                <a:schemeClr val="tx1"/>
              </a:solidFill>
            </a:rPr>
          </a:br>
          <a:r>
            <a:rPr lang="en-US" sz="1800">
              <a:solidFill>
                <a:schemeClr val="tx1"/>
              </a:solidFill>
            </a:rPr>
            <a:t>• Employee Referrals achieved a strong </a:t>
          </a:r>
          <a:r>
            <a:rPr lang="en-US" sz="1800" b="1">
              <a:solidFill>
                <a:schemeClr val="tx1"/>
              </a:solidFill>
            </a:rPr>
            <a:t>13.0% selection rate</a:t>
          </a:r>
          <a:r>
            <a:rPr lang="en-US" sz="1800">
              <a:solidFill>
                <a:schemeClr val="tx1"/>
              </a:solidFill>
            </a:rPr>
            <a:t>.</a:t>
          </a:r>
          <a:br>
            <a:rPr lang="en-US" sz="1800">
              <a:solidFill>
                <a:schemeClr val="tx1"/>
              </a:solidFill>
            </a:rPr>
          </a:br>
          <a:r>
            <a:rPr lang="en-US" sz="1800">
              <a:solidFill>
                <a:schemeClr val="tx1"/>
              </a:solidFill>
            </a:rPr>
            <a:t>• </a:t>
          </a:r>
          <a:r>
            <a:rPr lang="en-US" sz="1800" b="1">
              <a:solidFill>
                <a:schemeClr val="tx1"/>
              </a:solidFill>
            </a:rPr>
            <a:t>April</a:t>
          </a:r>
          <a:r>
            <a:rPr lang="en-US" sz="1800">
              <a:solidFill>
                <a:schemeClr val="tx1"/>
              </a:solidFill>
            </a:rPr>
            <a:t> recorded the highest selections (</a:t>
          </a:r>
          <a:r>
            <a:rPr lang="en-US" sz="1800" b="1">
              <a:solidFill>
                <a:schemeClr val="tx1"/>
              </a:solidFill>
            </a:rPr>
            <a:t>16</a:t>
          </a:r>
          <a:r>
            <a:rPr lang="en-US" sz="1800">
              <a:solidFill>
                <a:schemeClr val="tx1"/>
              </a:solidFill>
            </a:rPr>
            <a:t>), while </a:t>
          </a:r>
          <a:r>
            <a:rPr lang="en-US" sz="1800" b="1">
              <a:solidFill>
                <a:schemeClr val="tx1"/>
              </a:solidFill>
            </a:rPr>
            <a:t>July</a:t>
          </a:r>
          <a:r>
            <a:rPr lang="en-US" sz="1800">
              <a:solidFill>
                <a:schemeClr val="tx1"/>
              </a:solidFill>
            </a:rPr>
            <a:t> had the highest candidate volume (</a:t>
          </a:r>
          <a:r>
            <a:rPr lang="en-US" sz="1800" b="1">
              <a:solidFill>
                <a:schemeClr val="tx1"/>
              </a:solidFill>
            </a:rPr>
            <a:t>95</a:t>
          </a:r>
          <a:r>
            <a:rPr lang="en-US" sz="1800">
              <a:solidFill>
                <a:schemeClr val="tx1"/>
              </a:solidFill>
            </a:rPr>
            <a:t>).</a:t>
          </a:r>
          <a:br>
            <a:rPr lang="en-US" sz="1800">
              <a:solidFill>
                <a:schemeClr val="tx1"/>
              </a:solidFill>
            </a:rPr>
          </a:br>
          <a:r>
            <a:rPr lang="en-US" sz="1800">
              <a:solidFill>
                <a:schemeClr val="tx1"/>
              </a:solidFill>
            </a:rPr>
            <a:t>• Business Analyst had the highest selection count among the visible positions (</a:t>
          </a:r>
          <a:r>
            <a:rPr lang="en-US" sz="1800" b="1">
              <a:solidFill>
                <a:schemeClr val="tx1"/>
              </a:solidFill>
            </a:rPr>
            <a:t>25</a:t>
          </a:r>
          <a:r>
            <a:rPr lang="en-US" sz="1800">
              <a:solidFill>
                <a:schemeClr val="tx1"/>
              </a:solidFill>
            </a:rPr>
            <a:t>).</a:t>
          </a:r>
          <a:endParaRPr lang="en-US" sz="1800" b="1">
            <a:solidFill>
              <a:schemeClr val="tx1"/>
            </a:solidFill>
            <a:latin typeface="Arial Rounded MT Bold" panose="020F07040305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1162050</xdr:colOff>
      <xdr:row>45</xdr:row>
      <xdr:rowOff>90487</xdr:rowOff>
    </xdr:from>
    <xdr:to>
      <xdr:col>8</xdr:col>
      <xdr:colOff>180975</xdr:colOff>
      <xdr:row>55</xdr:row>
      <xdr:rowOff>171450</xdr:rowOff>
    </xdr:to>
    <xdr:graphicFrame macro="">
      <xdr:nvGraphicFramePr>
        <xdr:cNvPr id="2" name="Chart 1">
          <a:extLst>
            <a:ext uri="{FF2B5EF4-FFF2-40B4-BE49-F238E27FC236}">
              <a16:creationId xmlns:a16="http://schemas.microsoft.com/office/drawing/2014/main" id="{4FE47B1E-8E0D-FDF4-664B-0DE0F8682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123824</xdr:colOff>
      <xdr:row>32</xdr:row>
      <xdr:rowOff>66674</xdr:rowOff>
    </xdr:from>
    <xdr:to>
      <xdr:col>12</xdr:col>
      <xdr:colOff>57149</xdr:colOff>
      <xdr:row>45</xdr:row>
      <xdr:rowOff>42861</xdr:rowOff>
    </xdr:to>
    <xdr:graphicFrame macro="">
      <xdr:nvGraphicFramePr>
        <xdr:cNvPr id="3" name="Chart 2">
          <a:extLst>
            <a:ext uri="{FF2B5EF4-FFF2-40B4-BE49-F238E27FC236}">
              <a16:creationId xmlns:a16="http://schemas.microsoft.com/office/drawing/2014/main" id="{023E23C6-0EFB-EC3A-543D-9A0F4EE37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57150</xdr:colOff>
      <xdr:row>1</xdr:row>
      <xdr:rowOff>4762</xdr:rowOff>
    </xdr:from>
    <xdr:to>
      <xdr:col>11</xdr:col>
      <xdr:colOff>361950</xdr:colOff>
      <xdr:row>15</xdr:row>
      <xdr:rowOff>80962</xdr:rowOff>
    </xdr:to>
    <xdr:graphicFrame macro="">
      <xdr:nvGraphicFramePr>
        <xdr:cNvPr id="4" name="Chart 3">
          <a:extLst>
            <a:ext uri="{FF2B5EF4-FFF2-40B4-BE49-F238E27FC236}">
              <a16:creationId xmlns:a16="http://schemas.microsoft.com/office/drawing/2014/main" id="{352D03D5-03AD-12A7-7F07-C10E45C36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 refreshedDate="46300.054707754629" createdVersion="8" refreshedVersion="8" minRefreshableVersion="3" recordCount="750" xr:uid="{35EDCCA1-2130-4EE0-960C-E01BD56A0FF5}">
  <cacheSource type="worksheet">
    <worksheetSource name="RecruitmentTable"/>
  </cacheSource>
  <cacheFields count="23">
    <cacheField name="Candidate ID" numFmtId="0">
      <sharedItems/>
    </cacheField>
    <cacheField name="Candidate Name" numFmtId="0">
      <sharedItems/>
    </cacheField>
    <cacheField name="Application Date" numFmtId="14">
      <sharedItems containsSemiMixedTypes="0" containsNonDate="0" containsDate="1" containsString="0" minDate="2026-01-01T00:00:00" maxDate="2026-10-01T00:00:00" count="247">
        <d v="2026-04-13T00:00:00"/>
        <d v="2026-07-11T00:00:00"/>
        <d v="2026-07-09T00:00:00"/>
        <d v="2026-03-30T00:00:00"/>
        <d v="2026-02-04T00:00:00"/>
        <d v="2026-02-13T00:00:00"/>
        <d v="2026-08-05T00:00:00"/>
        <d v="2026-05-16T00:00:00"/>
        <d v="2026-08-19T00:00:00"/>
        <d v="2026-06-21T00:00:00"/>
        <d v="2026-01-05T00:00:00"/>
        <d v="2026-06-28T00:00:00"/>
        <d v="2026-05-23T00:00:00"/>
        <d v="2026-02-14T00:00:00"/>
        <d v="2026-07-17T00:00:00"/>
        <d v="2026-04-23T00:00:00"/>
        <d v="2026-07-18T00:00:00"/>
        <d v="2026-05-31T00:00:00"/>
        <d v="2026-01-02T00:00:00"/>
        <d v="2026-02-23T00:00:00"/>
        <d v="2026-08-15T00:00:00"/>
        <d v="2026-06-10T00:00:00"/>
        <d v="2026-01-22T00:00:00"/>
        <d v="2026-05-27T00:00:00"/>
        <d v="2026-01-06T00:00:00"/>
        <d v="2026-04-26T00:00:00"/>
        <d v="2026-06-23T00:00:00"/>
        <d v="2026-09-03T00:00:00"/>
        <d v="2026-04-11T00:00:00"/>
        <d v="2026-02-16T00:00:00"/>
        <d v="2026-04-27T00:00:00"/>
        <d v="2026-07-23T00:00:00"/>
        <d v="2026-06-29T00:00:00"/>
        <d v="2026-09-04T00:00:00"/>
        <d v="2026-02-02T00:00:00"/>
        <d v="2026-02-12T00:00:00"/>
        <d v="2026-03-31T00:00:00"/>
        <d v="2026-04-09T00:00:00"/>
        <d v="2026-09-30T00:00:00"/>
        <d v="2026-08-21T00:00:00"/>
        <d v="2026-03-10T00:00:00"/>
        <d v="2026-02-08T00:00:00"/>
        <d v="2026-05-26T00:00:00"/>
        <d v="2026-05-02T00:00:00"/>
        <d v="2026-05-12T00:00:00"/>
        <d v="2026-01-19T00:00:00"/>
        <d v="2026-01-01T00:00:00"/>
        <d v="2026-05-14T00:00:00"/>
        <d v="2026-06-05T00:00:00"/>
        <d v="2026-07-31T00:00:00"/>
        <d v="2026-09-13T00:00:00"/>
        <d v="2026-03-06T00:00:00"/>
        <d v="2026-04-08T00:00:00"/>
        <d v="2026-09-16T00:00:00"/>
        <d v="2026-02-03T00:00:00"/>
        <d v="2026-03-16T00:00:00"/>
        <d v="2026-09-06T00:00:00"/>
        <d v="2026-05-18T00:00:00"/>
        <d v="2026-05-06T00:00:00"/>
        <d v="2026-07-03T00:00:00"/>
        <d v="2026-03-14T00:00:00"/>
        <d v="2026-09-14T00:00:00"/>
        <d v="2026-06-03T00:00:00"/>
        <d v="2026-05-25T00:00:00"/>
        <d v="2026-08-24T00:00:00"/>
        <d v="2026-08-17T00:00:00"/>
        <d v="2026-08-31T00:00:00"/>
        <d v="2026-01-26T00:00:00"/>
        <d v="2026-05-10T00:00:00"/>
        <d v="2026-04-04T00:00:00"/>
        <d v="2026-03-17T00:00:00"/>
        <d v="2026-03-04T00:00:00"/>
        <d v="2026-01-10T00:00:00"/>
        <d v="2026-01-15T00:00:00"/>
        <d v="2026-05-21T00:00:00"/>
        <d v="2026-05-13T00:00:00"/>
        <d v="2026-04-20T00:00:00"/>
        <d v="2026-05-17T00:00:00"/>
        <d v="2026-01-17T00:00:00"/>
        <d v="2026-09-21T00:00:00"/>
        <d v="2026-03-28T00:00:00"/>
        <d v="2026-09-12T00:00:00"/>
        <d v="2026-04-06T00:00:00"/>
        <d v="2026-01-07T00:00:00"/>
        <d v="2026-07-16T00:00:00"/>
        <d v="2026-03-22T00:00:00"/>
        <d v="2026-07-20T00:00:00"/>
        <d v="2026-06-22T00:00:00"/>
        <d v="2026-01-29T00:00:00"/>
        <d v="2026-01-25T00:00:00"/>
        <d v="2026-01-12T00:00:00"/>
        <d v="2026-07-02T00:00:00"/>
        <d v="2026-09-23T00:00:00"/>
        <d v="2026-09-17T00:00:00"/>
        <d v="2026-04-17T00:00:00"/>
        <d v="2026-01-03T00:00:00"/>
        <d v="2026-06-19T00:00:00"/>
        <d v="2026-02-09T00:00:00"/>
        <d v="2026-02-28T00:00:00"/>
        <d v="2026-07-25T00:00:00"/>
        <d v="2026-03-15T00:00:00"/>
        <d v="2026-08-07T00:00:00"/>
        <d v="2026-04-02T00:00:00"/>
        <d v="2026-06-11T00:00:00"/>
        <d v="2026-03-13T00:00:00"/>
        <d v="2026-06-30T00:00:00"/>
        <d v="2026-06-15T00:00:00"/>
        <d v="2026-07-28T00:00:00"/>
        <d v="2026-04-12T00:00:00"/>
        <d v="2026-03-27T00:00:00"/>
        <d v="2026-03-23T00:00:00"/>
        <d v="2026-08-01T00:00:00"/>
        <d v="2026-06-01T00:00:00"/>
        <d v="2026-09-19T00:00:00"/>
        <d v="2026-01-08T00:00:00"/>
        <d v="2026-04-21T00:00:00"/>
        <d v="2026-04-30T00:00:00"/>
        <d v="2026-09-08T00:00:00"/>
        <d v="2026-06-27T00:00:00"/>
        <d v="2026-05-09T00:00:00"/>
        <d v="2026-04-24T00:00:00"/>
        <d v="2026-09-02T00:00:00"/>
        <d v="2026-03-26T00:00:00"/>
        <d v="2026-08-16T00:00:00"/>
        <d v="2026-01-21T00:00:00"/>
        <d v="2026-02-20T00:00:00"/>
        <d v="2026-04-18T00:00:00"/>
        <d v="2026-01-09T00:00:00"/>
        <d v="2026-07-07T00:00:00"/>
        <d v="2026-03-11T00:00:00"/>
        <d v="2026-06-09T00:00:00"/>
        <d v="2026-07-27T00:00:00"/>
        <d v="2026-04-25T00:00:00"/>
        <d v="2026-08-14T00:00:00"/>
        <d v="2026-09-10T00:00:00"/>
        <d v="2026-01-20T00:00:00"/>
        <d v="2026-07-22T00:00:00"/>
        <d v="2026-01-28T00:00:00"/>
        <d v="2026-02-18T00:00:00"/>
        <d v="2026-09-15T00:00:00"/>
        <d v="2026-09-25T00:00:00"/>
        <d v="2026-08-26T00:00:00"/>
        <d v="2026-02-19T00:00:00"/>
        <d v="2026-07-05T00:00:00"/>
        <d v="2026-08-18T00:00:00"/>
        <d v="2026-01-14T00:00:00"/>
        <d v="2026-04-16T00:00:00"/>
        <d v="2026-08-20T00:00:00"/>
        <d v="2026-09-20T00:00:00"/>
        <d v="2026-02-01T00:00:00"/>
        <d v="2026-07-15T00:00:00"/>
        <d v="2026-05-28T00:00:00"/>
        <d v="2026-02-15T00:00:00"/>
        <d v="2026-09-27T00:00:00"/>
        <d v="2026-08-10T00:00:00"/>
        <d v="2026-02-07T00:00:00"/>
        <d v="2026-04-03T00:00:00"/>
        <d v="2026-02-06T00:00:00"/>
        <d v="2026-04-19T00:00:00"/>
        <d v="2026-08-11T00:00:00"/>
        <d v="2026-06-16T00:00:00"/>
        <d v="2026-03-05T00:00:00"/>
        <d v="2026-03-08T00:00:00"/>
        <d v="2026-05-04T00:00:00"/>
        <d v="2026-02-11T00:00:00"/>
        <d v="2026-08-02T00:00:00"/>
        <d v="2026-08-30T00:00:00"/>
        <d v="2026-06-12T00:00:00"/>
        <d v="2026-07-13T00:00:00"/>
        <d v="2026-01-13T00:00:00"/>
        <d v="2026-02-24T00:00:00"/>
        <d v="2026-09-05T00:00:00"/>
        <d v="2026-06-06T00:00:00"/>
        <d v="2026-04-10T00:00:00"/>
        <d v="2026-08-06T00:00:00"/>
        <d v="2026-01-11T00:00:00"/>
        <d v="2026-05-29T00:00:00"/>
        <d v="2026-06-14T00:00:00"/>
        <d v="2026-04-14T00:00:00"/>
        <d v="2026-05-15T00:00:00"/>
        <d v="2026-01-04T00:00:00"/>
        <d v="2026-09-24T00:00:00"/>
        <d v="2026-06-24T00:00:00"/>
        <d v="2026-08-12T00:00:00"/>
        <d v="2026-06-20T00:00:00"/>
        <d v="2026-08-09T00:00:00"/>
        <d v="2026-09-28T00:00:00"/>
        <d v="2026-01-24T00:00:00"/>
        <d v="2026-06-18T00:00:00"/>
        <d v="2026-07-04T00:00:00"/>
        <d v="2026-02-17T00:00:00"/>
        <d v="2026-06-17T00:00:00"/>
        <d v="2026-07-29T00:00:00"/>
        <d v="2026-07-21T00:00:00"/>
        <d v="2026-03-09T00:00:00"/>
        <d v="2026-06-25T00:00:00"/>
        <d v="2026-03-18T00:00:00"/>
        <d v="2026-07-01T00:00:00"/>
        <d v="2026-03-29T00:00:00"/>
        <d v="2026-05-24T00:00:00"/>
        <d v="2026-04-28T00:00:00"/>
        <d v="2026-03-01T00:00:00"/>
        <d v="2026-06-08T00:00:00"/>
        <d v="2026-08-27T00:00:00"/>
        <d v="2026-05-20T00:00:00"/>
        <d v="2026-07-06T00:00:00"/>
        <d v="2026-06-02T00:00:00"/>
        <d v="2026-04-22T00:00:00"/>
        <d v="2026-05-30T00:00:00"/>
        <d v="2026-04-29T00:00:00"/>
        <d v="2026-05-07T00:00:00"/>
        <d v="2026-07-24T00:00:00"/>
        <d v="2026-09-26T00:00:00"/>
        <d v="2026-02-22T00:00:00"/>
        <d v="2026-07-19T00:00:00"/>
        <d v="2026-04-15T00:00:00"/>
        <d v="2026-04-07T00:00:00"/>
        <d v="2026-09-07T00:00:00"/>
        <d v="2026-08-25T00:00:00"/>
        <d v="2026-08-08T00:00:00"/>
        <d v="2026-02-27T00:00:00"/>
        <d v="2026-06-13T00:00:00"/>
        <d v="2026-05-01T00:00:00"/>
        <d v="2026-08-13T00:00:00"/>
        <d v="2026-03-12T00:00:00"/>
        <d v="2026-04-05T00:00:00"/>
        <d v="2026-06-04T00:00:00"/>
        <d v="2026-06-07T00:00:00"/>
        <d v="2026-07-08T00:00:00"/>
        <d v="2026-09-29T00:00:00"/>
        <d v="2026-08-04T00:00:00"/>
        <d v="2026-07-12T00:00:00"/>
        <d v="2026-03-19T00:00:00"/>
        <d v="2026-01-30T00:00:00"/>
        <d v="2026-09-18T00:00:00"/>
        <d v="2026-08-03T00:00:00"/>
        <d v="2026-07-26T00:00:00"/>
        <d v="2026-03-21T00:00:00"/>
        <d v="2026-07-30T00:00:00"/>
        <d v="2026-02-26T00:00:00"/>
        <d v="2026-01-16T00:00:00"/>
        <d v="2026-03-24T00:00:00"/>
        <d v="2026-03-03T00:00:00"/>
        <d v="2026-01-27T00:00:00"/>
        <d v="2026-08-28T00:00:00"/>
        <d v="2026-08-23T00:00:00"/>
        <d v="2026-09-11T00:00:00"/>
      </sharedItems>
      <fieldGroup par="22"/>
    </cacheField>
    <cacheField name="Position" numFmtId="0">
      <sharedItems count="6">
        <s v="Research Analyst"/>
        <s v="Talent Acquisition Associate"/>
        <s v="Business Analyst"/>
        <s v="HR Analyst"/>
        <s v="Associate Consultant"/>
        <s v="Recruiting Coordinator"/>
      </sharedItems>
    </cacheField>
    <cacheField name="Department" numFmtId="0">
      <sharedItems count="3">
        <s v="Knowledge Services"/>
        <s v="Human Resources"/>
        <s v="Consulting"/>
      </sharedItems>
    </cacheField>
    <cacheField name="Location" numFmtId="0">
      <sharedItems count="6">
        <s v="Pune"/>
        <s v="Bengaluru"/>
        <s v="Mumbai"/>
        <s v="Gurugram"/>
        <s v="New Delhi"/>
        <s v="Hyderabad"/>
      </sharedItems>
    </cacheField>
    <cacheField name="Source" numFmtId="0">
      <sharedItems count="6">
        <s v="LinkedIn"/>
        <s v="Employee Referral"/>
        <s v="Campus Hiring"/>
        <s v="Social Media"/>
        <s v="Company Website"/>
        <s v="Job Portal"/>
      </sharedItems>
    </cacheField>
    <cacheField name="Recruiter" numFmtId="0">
      <sharedItems count="5">
        <s v="Meera"/>
        <s v="Karan"/>
        <s v="Rohan"/>
        <s v="Priya"/>
        <s v="Ananya"/>
      </sharedItems>
    </cacheField>
    <cacheField name="Screening Status" numFmtId="0">
      <sharedItems/>
    </cacheField>
    <cacheField name="Interview Stage" numFmtId="0">
      <sharedItems/>
    </cacheField>
    <cacheField name="Interview Date" numFmtId="0">
      <sharedItems containsNonDate="0" containsDate="1" containsString="0" containsBlank="1" minDate="2026-01-05T00:00:00" maxDate="2026-10-16T00:00:00"/>
    </cacheField>
    <cacheField name="Interview Status" numFmtId="0">
      <sharedItems/>
    </cacheField>
    <cacheField name="Final Status" numFmtId="0">
      <sharedItems/>
    </cacheField>
    <cacheField name="Offer Date" numFmtId="14">
      <sharedItems containsNonDate="0" containsDate="1" containsString="0" containsBlank="1" minDate="2026-01-07T00:00:00" maxDate="2026-10-19T00:00:00"/>
    </cacheField>
    <cacheField name="Joining Status" numFmtId="0">
      <sharedItems/>
    </cacheField>
    <cacheField name="Joining Date" numFmtId="14">
      <sharedItems containsNonDate="0" containsDate="1" containsString="0" containsBlank="1" minDate="2026-02-01T00:00:00" maxDate="2026-10-24T00:00:00"/>
    </cacheField>
    <cacheField name="Days to Interview" numFmtId="0">
      <sharedItems containsString="0" containsBlank="1" containsNumber="1" containsInteger="1" minValue="4" maxValue="17"/>
    </cacheField>
    <cacheField name="Days to Offer" numFmtId="0">
      <sharedItems containsString="0" containsBlank="1" containsNumber="1" containsInteger="1" minValue="2" maxValue="7"/>
    </cacheField>
    <cacheField name="Days to Join" numFmtId="0">
      <sharedItems containsString="0" containsBlank="1" containsNumber="1" containsInteger="1" minValue="10" maxValue="30"/>
    </cacheField>
    <cacheField name="Recruitment Stage" numFmtId="0">
      <sharedItems count="3">
        <s v="Offer"/>
        <s v="Rejected"/>
        <s v="Screening"/>
      </sharedItems>
    </cacheField>
    <cacheField name="Selection Flag" numFmtId="0">
      <sharedItems containsSemiMixedTypes="0" containsString="0" containsNumber="1" containsInteger="1" minValue="0" maxValue="1"/>
    </cacheField>
    <cacheField name="Days (Application Date)" numFmtId="0" databaseField="0">
      <fieldGroup base="2">
        <rangePr groupBy="days" startDate="2026-01-01T00:00:00" endDate="2026-10-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026"/>
        </groupItems>
      </fieldGroup>
    </cacheField>
    <cacheField name="Months (Application Date)" numFmtId="0" databaseField="0">
      <fieldGroup base="2">
        <rangePr groupBy="months" startDate="2026-01-01T00:00:00" endDate="2026-10-01T00:00:00"/>
        <groupItems count="14">
          <s v="&lt;1/1/2026"/>
          <s v="Jan"/>
          <s v="Feb"/>
          <s v="Mar"/>
          <s v="Apr"/>
          <s v="May"/>
          <s v="Jun"/>
          <s v="Jul"/>
          <s v="Aug"/>
          <s v="Sep"/>
          <s v="Oct"/>
          <s v="Nov"/>
          <s v="Dec"/>
          <s v="&gt;10/1/2026"/>
        </groupItems>
      </fieldGroup>
    </cacheField>
  </cacheFields>
  <extLst>
    <ext xmlns:x14="http://schemas.microsoft.com/office/spreadsheetml/2009/9/main" uri="{725AE2AE-9491-48be-B2B4-4EB974FC3084}">
      <x14:pivotCacheDefinition pivotCacheId="2044166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s v="CAND0001"/>
    <s v="Vivaan Kapoor"/>
    <x v="0"/>
    <x v="0"/>
    <x v="0"/>
    <x v="0"/>
    <x v="0"/>
    <x v="0"/>
    <s v="Passed"/>
    <s v="Round 1"/>
    <d v="2026-04-24T00:00:00"/>
    <s v="Completed"/>
    <s v="Selected"/>
    <d v="2026-04-28T00:00:00"/>
    <s v="Joined"/>
    <d v="2026-05-28T00:00:00"/>
    <n v="11"/>
    <n v="4"/>
    <n v="30"/>
    <x v="0"/>
    <n v="1"/>
  </r>
  <r>
    <s v="CAND0002"/>
    <s v="Riya Chauhan"/>
    <x v="1"/>
    <x v="1"/>
    <x v="1"/>
    <x v="1"/>
    <x v="1"/>
    <x v="0"/>
    <s v="Passed"/>
    <s v="Round 1"/>
    <d v="2026-07-24T00:00:00"/>
    <s v="Completed"/>
    <s v="Rejected"/>
    <m/>
    <s v="Not Applicable"/>
    <m/>
    <n v="13"/>
    <m/>
    <m/>
    <x v="1"/>
    <n v="0"/>
  </r>
  <r>
    <s v="CAND0003"/>
    <s v="Karan Mishra"/>
    <x v="2"/>
    <x v="2"/>
    <x v="2"/>
    <x v="2"/>
    <x v="1"/>
    <x v="1"/>
    <s v="Passed"/>
    <s v="Round 1"/>
    <d v="2026-07-17T00:00:00"/>
    <s v="Completed"/>
    <s v="Rejected"/>
    <m/>
    <s v="Not Applicable"/>
    <m/>
    <n v="8"/>
    <m/>
    <m/>
    <x v="1"/>
    <n v="0"/>
  </r>
  <r>
    <s v="CAND0004"/>
    <s v="Reyansh Chauhan"/>
    <x v="3"/>
    <x v="1"/>
    <x v="1"/>
    <x v="2"/>
    <x v="2"/>
    <x v="0"/>
    <s v="Passed"/>
    <s v="Round 1"/>
    <d v="2026-04-14T00:00:00"/>
    <s v="Completed"/>
    <s v="Rejected"/>
    <m/>
    <s v="Not Applicable"/>
    <m/>
    <n v="15"/>
    <m/>
    <m/>
    <x v="1"/>
    <n v="0"/>
  </r>
  <r>
    <s v="CAND0005"/>
    <s v="Kavya Agarwal"/>
    <x v="4"/>
    <x v="1"/>
    <x v="1"/>
    <x v="3"/>
    <x v="0"/>
    <x v="2"/>
    <s v="Passed"/>
    <s v="Round 1"/>
    <d v="2026-02-20T00:00:00"/>
    <s v="Completed"/>
    <s v="Rejected"/>
    <m/>
    <s v="Not Applicable"/>
    <m/>
    <n v="16"/>
    <m/>
    <m/>
    <x v="1"/>
    <n v="0"/>
  </r>
  <r>
    <s v="CAND0006"/>
    <s v="Meera Khan"/>
    <x v="5"/>
    <x v="1"/>
    <x v="1"/>
    <x v="1"/>
    <x v="2"/>
    <x v="1"/>
    <s v="Passed"/>
    <s v="Round 1"/>
    <d v="2026-02-18T00:00:00"/>
    <s v="Completed"/>
    <s v="Rejected"/>
    <m/>
    <s v="Not Applicable"/>
    <m/>
    <n v="5"/>
    <m/>
    <m/>
    <x v="1"/>
    <n v="0"/>
  </r>
  <r>
    <s v="CAND0007"/>
    <s v="Aarav Malhotra"/>
    <x v="6"/>
    <x v="3"/>
    <x v="1"/>
    <x v="4"/>
    <x v="1"/>
    <x v="0"/>
    <s v="Passed"/>
    <s v="Not Applicable"/>
    <m/>
    <s v="Not Scheduled"/>
    <s v="In Process"/>
    <m/>
    <s v="Not Applicable"/>
    <m/>
    <m/>
    <m/>
    <m/>
    <x v="2"/>
    <n v="0"/>
  </r>
  <r>
    <s v="CAND0008"/>
    <s v="Kabir Agarwal"/>
    <x v="7"/>
    <x v="2"/>
    <x v="2"/>
    <x v="3"/>
    <x v="2"/>
    <x v="3"/>
    <s v="Rejected"/>
    <s v="Not Applicable"/>
    <m/>
    <s v="Not Applicable"/>
    <s v="Rejected"/>
    <m/>
    <s v="Not Applicable"/>
    <m/>
    <m/>
    <m/>
    <m/>
    <x v="1"/>
    <n v="0"/>
  </r>
  <r>
    <s v="CAND0009"/>
    <s v="Kabir Singh"/>
    <x v="8"/>
    <x v="4"/>
    <x v="2"/>
    <x v="0"/>
    <x v="3"/>
    <x v="1"/>
    <s v="Passed"/>
    <s v="Round 1"/>
    <d v="2026-08-30T00:00:00"/>
    <s v="Completed"/>
    <s v="Rejected"/>
    <m/>
    <s v="Not Applicable"/>
    <m/>
    <n v="11"/>
    <m/>
    <m/>
    <x v="1"/>
    <n v="0"/>
  </r>
  <r>
    <s v="CAND0010"/>
    <s v="Aditya Sharma"/>
    <x v="9"/>
    <x v="4"/>
    <x v="2"/>
    <x v="1"/>
    <x v="2"/>
    <x v="0"/>
    <s v="Rejected"/>
    <s v="Not Applicable"/>
    <m/>
    <s v="Not Applicable"/>
    <s v="Rejected"/>
    <m/>
    <s v="Not Applicable"/>
    <m/>
    <m/>
    <m/>
    <m/>
    <x v="1"/>
    <n v="0"/>
  </r>
  <r>
    <s v="CAND0011"/>
    <s v="Rahul Malhotra"/>
    <x v="10"/>
    <x v="4"/>
    <x v="2"/>
    <x v="1"/>
    <x v="4"/>
    <x v="4"/>
    <s v="Rejected"/>
    <s v="Not Applicable"/>
    <m/>
    <s v="Not Applicable"/>
    <s v="Rejected"/>
    <m/>
    <s v="Not Applicable"/>
    <m/>
    <m/>
    <m/>
    <m/>
    <x v="1"/>
    <n v="0"/>
  </r>
  <r>
    <s v="CAND0012"/>
    <s v="Ishaan Sinha"/>
    <x v="11"/>
    <x v="2"/>
    <x v="2"/>
    <x v="2"/>
    <x v="1"/>
    <x v="1"/>
    <s v="Rejected"/>
    <s v="Not Applicable"/>
    <m/>
    <s v="Not Applicable"/>
    <s v="Rejected"/>
    <m/>
    <s v="Not Applicable"/>
    <m/>
    <m/>
    <m/>
    <m/>
    <x v="1"/>
    <n v="0"/>
  </r>
  <r>
    <s v="CAND0013"/>
    <s v="Vivaan Agarwal"/>
    <x v="12"/>
    <x v="0"/>
    <x v="0"/>
    <x v="4"/>
    <x v="0"/>
    <x v="3"/>
    <s v="Rejected"/>
    <s v="Not Applicable"/>
    <m/>
    <s v="Not Applicable"/>
    <s v="Rejected"/>
    <m/>
    <s v="Not Applicable"/>
    <m/>
    <m/>
    <m/>
    <m/>
    <x v="1"/>
    <n v="0"/>
  </r>
  <r>
    <s v="CAND0014"/>
    <s v="Ananya Agarwal"/>
    <x v="13"/>
    <x v="3"/>
    <x v="1"/>
    <x v="1"/>
    <x v="0"/>
    <x v="1"/>
    <s v="Passed"/>
    <s v="Not Applicable"/>
    <m/>
    <s v="Not Scheduled"/>
    <s v="In Process"/>
    <m/>
    <s v="Not Applicable"/>
    <m/>
    <m/>
    <m/>
    <m/>
    <x v="2"/>
    <n v="0"/>
  </r>
  <r>
    <s v="CAND0015"/>
    <s v="Karan Singh"/>
    <x v="8"/>
    <x v="1"/>
    <x v="1"/>
    <x v="3"/>
    <x v="0"/>
    <x v="4"/>
    <s v="Rejected"/>
    <s v="Not Applicable"/>
    <m/>
    <s v="Not Applicable"/>
    <s v="Rejected"/>
    <m/>
    <s v="Not Applicable"/>
    <m/>
    <m/>
    <m/>
    <m/>
    <x v="1"/>
    <n v="0"/>
  </r>
  <r>
    <s v="CAND0016"/>
    <s v="Sana Malhotra"/>
    <x v="14"/>
    <x v="5"/>
    <x v="1"/>
    <x v="4"/>
    <x v="5"/>
    <x v="3"/>
    <s v="Passed"/>
    <s v="Round 1"/>
    <d v="2026-07-24T00:00:00"/>
    <s v="Completed"/>
    <s v="Selected"/>
    <d v="2026-07-26T00:00:00"/>
    <s v="Joined"/>
    <d v="2026-08-21T00:00:00"/>
    <n v="7"/>
    <n v="2"/>
    <n v="26"/>
    <x v="0"/>
    <n v="1"/>
  </r>
  <r>
    <s v="CAND0017"/>
    <s v="Vivaan Khan"/>
    <x v="15"/>
    <x v="2"/>
    <x v="2"/>
    <x v="4"/>
    <x v="3"/>
    <x v="2"/>
    <s v="Passed"/>
    <s v="Round 1"/>
    <d v="2026-04-29T00:00:00"/>
    <s v="Completed"/>
    <s v="Selected"/>
    <m/>
    <s v="Not Applicable"/>
    <m/>
    <n v="6"/>
    <m/>
    <m/>
    <x v="0"/>
    <n v="1"/>
  </r>
  <r>
    <s v="CAND0018"/>
    <s v="Sana Verma"/>
    <x v="9"/>
    <x v="5"/>
    <x v="1"/>
    <x v="1"/>
    <x v="1"/>
    <x v="3"/>
    <s v="Passed"/>
    <s v="Round 1"/>
    <d v="2026-06-29T00:00:00"/>
    <s v="Completed"/>
    <s v="Rejected"/>
    <m/>
    <s v="Not Applicable"/>
    <m/>
    <n v="8"/>
    <m/>
    <m/>
    <x v="1"/>
    <n v="0"/>
  </r>
  <r>
    <s v="CAND0019"/>
    <s v="Nisha Gupta"/>
    <x v="14"/>
    <x v="5"/>
    <x v="1"/>
    <x v="0"/>
    <x v="2"/>
    <x v="4"/>
    <s v="Passed"/>
    <s v="Round 1"/>
    <d v="2026-07-23T00:00:00"/>
    <s v="Completed"/>
    <s v="Selected"/>
    <d v="2026-07-26T00:00:00"/>
    <s v="Joined"/>
    <d v="2026-08-07T00:00:00"/>
    <n v="6"/>
    <n v="3"/>
    <n v="12"/>
    <x v="0"/>
    <n v="1"/>
  </r>
  <r>
    <s v="CAND0020"/>
    <s v="Ananya Malhotra"/>
    <x v="16"/>
    <x v="2"/>
    <x v="2"/>
    <x v="2"/>
    <x v="4"/>
    <x v="2"/>
    <s v="Rejected"/>
    <s v="Not Applicable"/>
    <m/>
    <s v="Not Applicable"/>
    <s v="Rejected"/>
    <m/>
    <s v="Not Applicable"/>
    <m/>
    <m/>
    <m/>
    <m/>
    <x v="1"/>
    <n v="0"/>
  </r>
  <r>
    <s v="CAND0021"/>
    <s v="Sana Malhotra"/>
    <x v="17"/>
    <x v="4"/>
    <x v="2"/>
    <x v="4"/>
    <x v="4"/>
    <x v="2"/>
    <s v="Rejected"/>
    <s v="Not Applicable"/>
    <m/>
    <s v="Not Applicable"/>
    <s v="Rejected"/>
    <m/>
    <s v="Not Applicable"/>
    <m/>
    <m/>
    <m/>
    <m/>
    <x v="1"/>
    <n v="0"/>
  </r>
  <r>
    <s v="CAND0022"/>
    <s v="Sana Kapoor"/>
    <x v="18"/>
    <x v="1"/>
    <x v="1"/>
    <x v="1"/>
    <x v="3"/>
    <x v="3"/>
    <s v="Passed"/>
    <s v="Round 1"/>
    <d v="2026-01-08T00:00:00"/>
    <s v="Completed"/>
    <s v="Rejected"/>
    <m/>
    <s v="Not Applicable"/>
    <m/>
    <n v="6"/>
    <m/>
    <m/>
    <x v="1"/>
    <n v="0"/>
  </r>
  <r>
    <s v="CAND0023"/>
    <s v="Sana Joshi"/>
    <x v="19"/>
    <x v="0"/>
    <x v="0"/>
    <x v="4"/>
    <x v="1"/>
    <x v="1"/>
    <s v="Rejected"/>
    <s v="Not Applicable"/>
    <m/>
    <s v="Not Applicable"/>
    <s v="Rejected"/>
    <m/>
    <s v="Not Applicable"/>
    <m/>
    <m/>
    <m/>
    <m/>
    <x v="1"/>
    <n v="0"/>
  </r>
  <r>
    <s v="CAND0024"/>
    <s v="Karan Gupta"/>
    <x v="20"/>
    <x v="3"/>
    <x v="1"/>
    <x v="5"/>
    <x v="3"/>
    <x v="2"/>
    <s v="Passed"/>
    <s v="Round 1"/>
    <d v="2026-08-31T00:00:00"/>
    <s v="Completed"/>
    <s v="Rejected"/>
    <m/>
    <s v="Not Applicable"/>
    <m/>
    <n v="16"/>
    <m/>
    <m/>
    <x v="1"/>
    <n v="0"/>
  </r>
  <r>
    <s v="CAND0025"/>
    <s v="Aarav Malhotra"/>
    <x v="21"/>
    <x v="2"/>
    <x v="2"/>
    <x v="4"/>
    <x v="1"/>
    <x v="3"/>
    <s v="Rejected"/>
    <s v="Not Applicable"/>
    <m/>
    <s v="Not Applicable"/>
    <s v="Rejected"/>
    <m/>
    <s v="Not Applicable"/>
    <m/>
    <m/>
    <m/>
    <m/>
    <x v="1"/>
    <n v="0"/>
  </r>
  <r>
    <s v="CAND0026"/>
    <s v="Kabir Malhotra"/>
    <x v="22"/>
    <x v="3"/>
    <x v="1"/>
    <x v="2"/>
    <x v="3"/>
    <x v="3"/>
    <s v="Passed"/>
    <s v="Round 1"/>
    <d v="2026-01-26T00:00:00"/>
    <s v="Completed"/>
    <s v="Rejected"/>
    <m/>
    <s v="Not Applicable"/>
    <m/>
    <n v="4"/>
    <m/>
    <m/>
    <x v="1"/>
    <n v="0"/>
  </r>
  <r>
    <s v="CAND0027"/>
    <s v="Isha Khan"/>
    <x v="23"/>
    <x v="4"/>
    <x v="2"/>
    <x v="4"/>
    <x v="4"/>
    <x v="1"/>
    <s v="Rejected"/>
    <s v="Not Applicable"/>
    <m/>
    <s v="Not Applicable"/>
    <s v="Rejected"/>
    <m/>
    <s v="Not Applicable"/>
    <m/>
    <m/>
    <m/>
    <m/>
    <x v="1"/>
    <n v="0"/>
  </r>
  <r>
    <s v="CAND0028"/>
    <s v="Aditya Malhotra"/>
    <x v="24"/>
    <x v="3"/>
    <x v="1"/>
    <x v="5"/>
    <x v="0"/>
    <x v="4"/>
    <s v="Rejected"/>
    <s v="Not Applicable"/>
    <m/>
    <s v="Not Applicable"/>
    <s v="Rejected"/>
    <m/>
    <s v="Not Applicable"/>
    <m/>
    <m/>
    <m/>
    <m/>
    <x v="1"/>
    <n v="0"/>
  </r>
  <r>
    <s v="CAND0029"/>
    <s v="Aditya Kapoor"/>
    <x v="25"/>
    <x v="3"/>
    <x v="1"/>
    <x v="0"/>
    <x v="5"/>
    <x v="3"/>
    <s v="Passed"/>
    <s v="Round 1"/>
    <d v="2026-05-09T00:00:00"/>
    <s v="Completed"/>
    <s v="Rejected"/>
    <m/>
    <s v="Not Applicable"/>
    <m/>
    <n v="13"/>
    <m/>
    <m/>
    <x v="1"/>
    <n v="0"/>
  </r>
  <r>
    <s v="CAND0030"/>
    <s v="Aarav Mehta"/>
    <x v="26"/>
    <x v="2"/>
    <x v="2"/>
    <x v="5"/>
    <x v="1"/>
    <x v="2"/>
    <s v="Passed"/>
    <s v="Round 1"/>
    <d v="2026-07-04T00:00:00"/>
    <s v="Completed"/>
    <s v="Rejected"/>
    <m/>
    <s v="Not Applicable"/>
    <m/>
    <n v="11"/>
    <m/>
    <m/>
    <x v="1"/>
    <n v="0"/>
  </r>
  <r>
    <s v="CAND0031"/>
    <s v="Isha Joshi"/>
    <x v="27"/>
    <x v="3"/>
    <x v="1"/>
    <x v="0"/>
    <x v="5"/>
    <x v="3"/>
    <s v="Passed"/>
    <s v="Round 1"/>
    <d v="2026-09-10T00:00:00"/>
    <s v="Completed"/>
    <s v="Selected"/>
    <d v="2026-09-12T00:00:00"/>
    <s v="Joined"/>
    <d v="2026-09-29T00:00:00"/>
    <n v="7"/>
    <n v="2"/>
    <n v="17"/>
    <x v="0"/>
    <n v="1"/>
  </r>
  <r>
    <s v="CAND0032"/>
    <s v="Meera Patel"/>
    <x v="12"/>
    <x v="3"/>
    <x v="1"/>
    <x v="1"/>
    <x v="0"/>
    <x v="3"/>
    <s v="Passed"/>
    <s v="Round 1"/>
    <d v="2026-05-30T00:00:00"/>
    <s v="Completed"/>
    <s v="Selected"/>
    <d v="2026-06-02T00:00:00"/>
    <s v="Joined"/>
    <d v="2026-06-17T00:00:00"/>
    <n v="7"/>
    <n v="3"/>
    <n v="15"/>
    <x v="0"/>
    <n v="1"/>
  </r>
  <r>
    <s v="CAND0033"/>
    <s v="Sana Joshi"/>
    <x v="28"/>
    <x v="5"/>
    <x v="1"/>
    <x v="4"/>
    <x v="4"/>
    <x v="0"/>
    <s v="Passed"/>
    <s v="Not Applicable"/>
    <m/>
    <s v="Not Scheduled"/>
    <s v="In Process"/>
    <m/>
    <s v="Not Applicable"/>
    <m/>
    <m/>
    <m/>
    <m/>
    <x v="2"/>
    <n v="0"/>
  </r>
  <r>
    <s v="CAND0034"/>
    <s v="Kabir Agarwal"/>
    <x v="29"/>
    <x v="4"/>
    <x v="2"/>
    <x v="4"/>
    <x v="0"/>
    <x v="2"/>
    <s v="Passed"/>
    <s v="Round 1"/>
    <d v="2026-02-22T00:00:00"/>
    <s v="Completed"/>
    <s v="Rejected"/>
    <m/>
    <s v="Not Applicable"/>
    <m/>
    <n v="6"/>
    <m/>
    <m/>
    <x v="1"/>
    <n v="0"/>
  </r>
  <r>
    <s v="CAND0035"/>
    <s v="Aarav Sinha"/>
    <x v="30"/>
    <x v="2"/>
    <x v="2"/>
    <x v="3"/>
    <x v="5"/>
    <x v="4"/>
    <s v="Passed"/>
    <s v="Round 1"/>
    <d v="2026-05-08T00:00:00"/>
    <s v="Completed"/>
    <s v="Selected"/>
    <d v="2026-05-14T00:00:00"/>
    <s v="Joined"/>
    <d v="2026-06-13T00:00:00"/>
    <n v="11"/>
    <n v="6"/>
    <n v="30"/>
    <x v="0"/>
    <n v="1"/>
  </r>
  <r>
    <s v="CAND0036"/>
    <s v="Sana Khan"/>
    <x v="1"/>
    <x v="4"/>
    <x v="2"/>
    <x v="2"/>
    <x v="1"/>
    <x v="1"/>
    <s v="Passed"/>
    <s v="Round 1"/>
    <d v="2026-07-15T00:00:00"/>
    <s v="Completed"/>
    <s v="Selected"/>
    <d v="2026-07-22T00:00:00"/>
    <s v="Joined"/>
    <d v="2026-08-14T00:00:00"/>
    <n v="4"/>
    <n v="7"/>
    <n v="23"/>
    <x v="0"/>
    <n v="1"/>
  </r>
  <r>
    <s v="CAND0037"/>
    <s v="Kabir Gupta"/>
    <x v="31"/>
    <x v="2"/>
    <x v="2"/>
    <x v="0"/>
    <x v="4"/>
    <x v="1"/>
    <s v="Passed"/>
    <s v="Round 1"/>
    <d v="2026-08-05T00:00:00"/>
    <s v="Completed"/>
    <s v="Rejected"/>
    <m/>
    <s v="Not Applicable"/>
    <m/>
    <n v="13"/>
    <m/>
    <m/>
    <x v="1"/>
    <n v="0"/>
  </r>
  <r>
    <s v="CAND0038"/>
    <s v="Riya Kapoor"/>
    <x v="32"/>
    <x v="3"/>
    <x v="1"/>
    <x v="1"/>
    <x v="1"/>
    <x v="4"/>
    <s v="Passed"/>
    <s v="Not Applicable"/>
    <m/>
    <s v="Not Scheduled"/>
    <s v="In Process"/>
    <m/>
    <s v="Not Applicable"/>
    <m/>
    <m/>
    <m/>
    <m/>
    <x v="2"/>
    <n v="0"/>
  </r>
  <r>
    <s v="CAND0039"/>
    <s v="Kavya Singh"/>
    <x v="33"/>
    <x v="1"/>
    <x v="1"/>
    <x v="3"/>
    <x v="2"/>
    <x v="1"/>
    <s v="Rejected"/>
    <s v="Not Applicable"/>
    <m/>
    <s v="Not Applicable"/>
    <s v="Rejected"/>
    <m/>
    <s v="Not Applicable"/>
    <m/>
    <m/>
    <m/>
    <m/>
    <x v="1"/>
    <n v="0"/>
  </r>
  <r>
    <s v="CAND0040"/>
    <s v="Reyansh Agarwal"/>
    <x v="34"/>
    <x v="5"/>
    <x v="1"/>
    <x v="5"/>
    <x v="1"/>
    <x v="3"/>
    <s v="Rejected"/>
    <s v="Not Applicable"/>
    <m/>
    <s v="Not Applicable"/>
    <s v="Rejected"/>
    <m/>
    <s v="Not Applicable"/>
    <m/>
    <m/>
    <m/>
    <m/>
    <x v="1"/>
    <n v="0"/>
  </r>
  <r>
    <s v="CAND0041"/>
    <s v="Reyansh Sinha"/>
    <x v="35"/>
    <x v="2"/>
    <x v="2"/>
    <x v="4"/>
    <x v="0"/>
    <x v="2"/>
    <s v="Passed"/>
    <s v="Round 1"/>
    <d v="2026-02-25T00:00:00"/>
    <s v="Completed"/>
    <s v="Rejected"/>
    <m/>
    <s v="Not Applicable"/>
    <m/>
    <n v="13"/>
    <m/>
    <m/>
    <x v="1"/>
    <n v="0"/>
  </r>
  <r>
    <s v="CAND0042"/>
    <s v="Diya Rao"/>
    <x v="36"/>
    <x v="3"/>
    <x v="1"/>
    <x v="1"/>
    <x v="0"/>
    <x v="2"/>
    <s v="Rejected"/>
    <s v="Not Applicable"/>
    <m/>
    <s v="Not Applicable"/>
    <s v="Rejected"/>
    <m/>
    <s v="Not Applicable"/>
    <m/>
    <m/>
    <m/>
    <m/>
    <x v="1"/>
    <n v="0"/>
  </r>
  <r>
    <s v="CAND0043"/>
    <s v="Aditya Sharma"/>
    <x v="6"/>
    <x v="0"/>
    <x v="0"/>
    <x v="4"/>
    <x v="5"/>
    <x v="4"/>
    <s v="Rejected"/>
    <s v="Not Applicable"/>
    <m/>
    <s v="Not Applicable"/>
    <s v="Rejected"/>
    <m/>
    <s v="Not Applicable"/>
    <m/>
    <m/>
    <m/>
    <m/>
    <x v="1"/>
    <n v="0"/>
  </r>
  <r>
    <s v="CAND0044"/>
    <s v="Karan Joshi"/>
    <x v="37"/>
    <x v="5"/>
    <x v="1"/>
    <x v="0"/>
    <x v="5"/>
    <x v="0"/>
    <s v="Passed"/>
    <s v="Round 1"/>
    <d v="2026-04-15T00:00:00"/>
    <s v="Completed"/>
    <s v="Rejected"/>
    <m/>
    <s v="Not Applicable"/>
    <m/>
    <n v="6"/>
    <m/>
    <m/>
    <x v="1"/>
    <n v="0"/>
  </r>
  <r>
    <s v="CAND0045"/>
    <s v="Priya Gupta"/>
    <x v="38"/>
    <x v="4"/>
    <x v="2"/>
    <x v="2"/>
    <x v="1"/>
    <x v="0"/>
    <s v="Rejected"/>
    <s v="Not Applicable"/>
    <m/>
    <s v="Not Applicable"/>
    <s v="Rejected"/>
    <m/>
    <s v="Not Applicable"/>
    <m/>
    <m/>
    <m/>
    <m/>
    <x v="1"/>
    <n v="0"/>
  </r>
  <r>
    <s v="CAND0046"/>
    <s v="Meera Khan"/>
    <x v="39"/>
    <x v="0"/>
    <x v="0"/>
    <x v="5"/>
    <x v="5"/>
    <x v="1"/>
    <s v="Rejected"/>
    <s v="Not Applicable"/>
    <m/>
    <s v="Not Applicable"/>
    <s v="Rejected"/>
    <m/>
    <s v="Not Applicable"/>
    <m/>
    <m/>
    <m/>
    <m/>
    <x v="1"/>
    <n v="0"/>
  </r>
  <r>
    <s v="CAND0047"/>
    <s v="Riya Mehta"/>
    <x v="40"/>
    <x v="3"/>
    <x v="1"/>
    <x v="3"/>
    <x v="5"/>
    <x v="1"/>
    <s v="Rejected"/>
    <s v="Not Applicable"/>
    <m/>
    <s v="Not Applicable"/>
    <s v="Rejected"/>
    <m/>
    <s v="Not Applicable"/>
    <m/>
    <m/>
    <m/>
    <m/>
    <x v="1"/>
    <n v="0"/>
  </r>
  <r>
    <s v="CAND0048"/>
    <s v="Ananya Rao"/>
    <x v="41"/>
    <x v="2"/>
    <x v="2"/>
    <x v="4"/>
    <x v="1"/>
    <x v="2"/>
    <s v="Passed"/>
    <s v="Not Applicable"/>
    <m/>
    <s v="Not Scheduled"/>
    <s v="In Process"/>
    <m/>
    <s v="Not Applicable"/>
    <m/>
    <m/>
    <m/>
    <m/>
    <x v="2"/>
    <n v="0"/>
  </r>
  <r>
    <s v="CAND0049"/>
    <s v="Karan Verma"/>
    <x v="42"/>
    <x v="1"/>
    <x v="1"/>
    <x v="0"/>
    <x v="4"/>
    <x v="4"/>
    <s v="Passed"/>
    <s v="Round 1"/>
    <d v="2026-06-08T00:00:00"/>
    <s v="Completed"/>
    <s v="Rejected"/>
    <m/>
    <s v="Not Applicable"/>
    <m/>
    <n v="13"/>
    <m/>
    <m/>
    <x v="1"/>
    <n v="0"/>
  </r>
  <r>
    <s v="CAND0050"/>
    <s v="Ishaan Mehta"/>
    <x v="43"/>
    <x v="2"/>
    <x v="2"/>
    <x v="4"/>
    <x v="1"/>
    <x v="0"/>
    <s v="Passed"/>
    <s v="Not Applicable"/>
    <m/>
    <s v="Not Scheduled"/>
    <s v="In Process"/>
    <m/>
    <s v="Not Applicable"/>
    <m/>
    <m/>
    <m/>
    <m/>
    <x v="2"/>
    <n v="0"/>
  </r>
  <r>
    <s v="CAND0051"/>
    <s v="Rahul Agarwal"/>
    <x v="44"/>
    <x v="3"/>
    <x v="1"/>
    <x v="1"/>
    <x v="4"/>
    <x v="1"/>
    <s v="Rejected"/>
    <s v="Not Applicable"/>
    <m/>
    <s v="Not Applicable"/>
    <s v="Rejected"/>
    <m/>
    <s v="Not Applicable"/>
    <m/>
    <m/>
    <m/>
    <m/>
    <x v="1"/>
    <n v="0"/>
  </r>
  <r>
    <s v="CAND0052"/>
    <s v="Reyansh Sinha"/>
    <x v="45"/>
    <x v="2"/>
    <x v="2"/>
    <x v="4"/>
    <x v="1"/>
    <x v="1"/>
    <s v="Passed"/>
    <s v="Not Applicable"/>
    <m/>
    <s v="Not Scheduled"/>
    <s v="In Process"/>
    <m/>
    <s v="Not Applicable"/>
    <m/>
    <m/>
    <m/>
    <m/>
    <x v="2"/>
    <n v="0"/>
  </r>
  <r>
    <s v="CAND0053"/>
    <s v="Rohan Khan"/>
    <x v="46"/>
    <x v="4"/>
    <x v="2"/>
    <x v="2"/>
    <x v="0"/>
    <x v="1"/>
    <s v="Passed"/>
    <s v="Not Applicable"/>
    <m/>
    <s v="Not Scheduled"/>
    <s v="In Process"/>
    <m/>
    <s v="Not Applicable"/>
    <m/>
    <m/>
    <m/>
    <m/>
    <x v="2"/>
    <n v="0"/>
  </r>
  <r>
    <s v="CAND0054"/>
    <s v="Kabir Gupta"/>
    <x v="47"/>
    <x v="0"/>
    <x v="0"/>
    <x v="1"/>
    <x v="3"/>
    <x v="0"/>
    <s v="Passed"/>
    <s v="Not Applicable"/>
    <m/>
    <s v="Not Scheduled"/>
    <s v="In Process"/>
    <m/>
    <s v="Not Applicable"/>
    <m/>
    <m/>
    <m/>
    <m/>
    <x v="2"/>
    <n v="0"/>
  </r>
  <r>
    <s v="CAND0055"/>
    <s v="Aarav Khan"/>
    <x v="20"/>
    <x v="4"/>
    <x v="2"/>
    <x v="4"/>
    <x v="0"/>
    <x v="4"/>
    <s v="Rejected"/>
    <s v="Not Applicable"/>
    <m/>
    <s v="Not Applicable"/>
    <s v="Rejected"/>
    <m/>
    <s v="Not Applicable"/>
    <m/>
    <m/>
    <m/>
    <m/>
    <x v="1"/>
    <n v="0"/>
  </r>
  <r>
    <s v="CAND0056"/>
    <s v="Riya Kapoor"/>
    <x v="19"/>
    <x v="4"/>
    <x v="2"/>
    <x v="4"/>
    <x v="2"/>
    <x v="1"/>
    <s v="Rejected"/>
    <s v="Not Applicable"/>
    <m/>
    <s v="Not Applicable"/>
    <s v="Rejected"/>
    <m/>
    <s v="Not Applicable"/>
    <m/>
    <m/>
    <m/>
    <m/>
    <x v="1"/>
    <n v="0"/>
  </r>
  <r>
    <s v="CAND0057"/>
    <s v="Priya Mehta"/>
    <x v="48"/>
    <x v="3"/>
    <x v="1"/>
    <x v="3"/>
    <x v="0"/>
    <x v="2"/>
    <s v="Passed"/>
    <s v="Round 1"/>
    <d v="2026-06-12T00:00:00"/>
    <s v="Completed"/>
    <s v="Rejected"/>
    <m/>
    <s v="Not Applicable"/>
    <m/>
    <n v="7"/>
    <m/>
    <m/>
    <x v="1"/>
    <n v="0"/>
  </r>
  <r>
    <s v="CAND0058"/>
    <s v="Kavya Singh"/>
    <x v="49"/>
    <x v="4"/>
    <x v="2"/>
    <x v="4"/>
    <x v="0"/>
    <x v="3"/>
    <s v="Rejected"/>
    <s v="Not Applicable"/>
    <m/>
    <s v="Not Applicable"/>
    <s v="Rejected"/>
    <m/>
    <s v="Not Applicable"/>
    <m/>
    <m/>
    <m/>
    <m/>
    <x v="1"/>
    <n v="0"/>
  </r>
  <r>
    <s v="CAND0059"/>
    <s v="Kabir Mishra"/>
    <x v="50"/>
    <x v="4"/>
    <x v="2"/>
    <x v="4"/>
    <x v="3"/>
    <x v="2"/>
    <s v="Rejected"/>
    <s v="Not Applicable"/>
    <m/>
    <s v="Not Applicable"/>
    <s v="Rejected"/>
    <m/>
    <s v="Not Applicable"/>
    <m/>
    <m/>
    <m/>
    <m/>
    <x v="1"/>
    <n v="0"/>
  </r>
  <r>
    <s v="CAND0060"/>
    <s v="Priya Sinha"/>
    <x v="51"/>
    <x v="5"/>
    <x v="1"/>
    <x v="2"/>
    <x v="3"/>
    <x v="2"/>
    <s v="Passed"/>
    <s v="Not Applicable"/>
    <m/>
    <s v="Not Scheduled"/>
    <s v="In Process"/>
    <m/>
    <s v="Not Applicable"/>
    <m/>
    <m/>
    <m/>
    <m/>
    <x v="2"/>
    <n v="0"/>
  </r>
  <r>
    <s v="CAND0061"/>
    <s v="Kabir Patel"/>
    <x v="52"/>
    <x v="2"/>
    <x v="2"/>
    <x v="4"/>
    <x v="0"/>
    <x v="1"/>
    <s v="Rejected"/>
    <s v="Not Applicable"/>
    <m/>
    <s v="Not Applicable"/>
    <s v="Rejected"/>
    <m/>
    <s v="Not Applicable"/>
    <m/>
    <m/>
    <m/>
    <m/>
    <x v="1"/>
    <n v="0"/>
  </r>
  <r>
    <s v="CAND0062"/>
    <s v="Priya Kapoor"/>
    <x v="53"/>
    <x v="4"/>
    <x v="2"/>
    <x v="5"/>
    <x v="4"/>
    <x v="2"/>
    <s v="Passed"/>
    <s v="Round 1"/>
    <d v="2026-09-23T00:00:00"/>
    <s v="Completed"/>
    <s v="Selected"/>
    <d v="2026-09-30T00:00:00"/>
    <s v="Joined"/>
    <d v="2026-10-10T00:00:00"/>
    <n v="7"/>
    <n v="7"/>
    <n v="10"/>
    <x v="0"/>
    <n v="1"/>
  </r>
  <r>
    <s v="CAND0063"/>
    <s v="Kavya Malhotra"/>
    <x v="54"/>
    <x v="3"/>
    <x v="1"/>
    <x v="3"/>
    <x v="0"/>
    <x v="2"/>
    <s v="Passed"/>
    <s v="Not Applicable"/>
    <m/>
    <s v="Not Scheduled"/>
    <s v="In Process"/>
    <m/>
    <s v="Not Applicable"/>
    <m/>
    <m/>
    <m/>
    <m/>
    <x v="2"/>
    <n v="0"/>
  </r>
  <r>
    <s v="CAND0064"/>
    <s v="Isha Verma"/>
    <x v="19"/>
    <x v="1"/>
    <x v="1"/>
    <x v="0"/>
    <x v="0"/>
    <x v="4"/>
    <s v="Passed"/>
    <s v="Round 1"/>
    <d v="2026-03-03T00:00:00"/>
    <s v="Completed"/>
    <s v="Rejected"/>
    <m/>
    <s v="Not Applicable"/>
    <m/>
    <n v="8"/>
    <m/>
    <m/>
    <x v="1"/>
    <n v="0"/>
  </r>
  <r>
    <s v="CAND0065"/>
    <s v="Meera Rao"/>
    <x v="55"/>
    <x v="2"/>
    <x v="2"/>
    <x v="4"/>
    <x v="0"/>
    <x v="2"/>
    <s v="Rejected"/>
    <s v="Not Applicable"/>
    <m/>
    <s v="Not Applicable"/>
    <s v="Rejected"/>
    <m/>
    <s v="Not Applicable"/>
    <m/>
    <m/>
    <m/>
    <m/>
    <x v="1"/>
    <n v="0"/>
  </r>
  <r>
    <s v="CAND0066"/>
    <s v="Kabir Sinha"/>
    <x v="56"/>
    <x v="5"/>
    <x v="1"/>
    <x v="2"/>
    <x v="4"/>
    <x v="2"/>
    <s v="Rejected"/>
    <s v="Not Applicable"/>
    <m/>
    <s v="Not Applicable"/>
    <s v="Rejected"/>
    <m/>
    <s v="Not Applicable"/>
    <m/>
    <m/>
    <m/>
    <m/>
    <x v="1"/>
    <n v="0"/>
  </r>
  <r>
    <s v="CAND0067"/>
    <s v="Vivaan Sinha"/>
    <x v="57"/>
    <x v="1"/>
    <x v="1"/>
    <x v="4"/>
    <x v="1"/>
    <x v="0"/>
    <s v="Rejected"/>
    <s v="Not Applicable"/>
    <m/>
    <s v="Not Applicable"/>
    <s v="Rejected"/>
    <m/>
    <s v="Not Applicable"/>
    <m/>
    <m/>
    <m/>
    <m/>
    <x v="1"/>
    <n v="0"/>
  </r>
  <r>
    <s v="CAND0068"/>
    <s v="Arjun Kapoor"/>
    <x v="58"/>
    <x v="4"/>
    <x v="2"/>
    <x v="4"/>
    <x v="0"/>
    <x v="4"/>
    <s v="Passed"/>
    <s v="Round 1"/>
    <d v="2026-05-17T00:00:00"/>
    <s v="Completed"/>
    <s v="Rejected"/>
    <m/>
    <s v="Not Applicable"/>
    <m/>
    <n v="11"/>
    <m/>
    <m/>
    <x v="1"/>
    <n v="0"/>
  </r>
  <r>
    <s v="CAND0069"/>
    <s v="Nisha Singh"/>
    <x v="59"/>
    <x v="5"/>
    <x v="1"/>
    <x v="1"/>
    <x v="2"/>
    <x v="2"/>
    <s v="Rejected"/>
    <s v="Not Applicable"/>
    <m/>
    <s v="Not Applicable"/>
    <s v="Rejected"/>
    <m/>
    <s v="Not Applicable"/>
    <m/>
    <m/>
    <m/>
    <m/>
    <x v="1"/>
    <n v="0"/>
  </r>
  <r>
    <s v="CAND0070"/>
    <s v="Isha Agarwal"/>
    <x v="10"/>
    <x v="3"/>
    <x v="1"/>
    <x v="4"/>
    <x v="5"/>
    <x v="4"/>
    <s v="Passed"/>
    <s v="Round 1"/>
    <d v="2026-01-09T00:00:00"/>
    <s v="Completed"/>
    <s v="Rejected"/>
    <m/>
    <s v="Not Applicable"/>
    <m/>
    <n v="4"/>
    <m/>
    <m/>
    <x v="1"/>
    <n v="0"/>
  </r>
  <r>
    <s v="CAND0071"/>
    <s v="Priya Agarwal"/>
    <x v="60"/>
    <x v="2"/>
    <x v="2"/>
    <x v="3"/>
    <x v="1"/>
    <x v="3"/>
    <s v="Rejected"/>
    <s v="Not Applicable"/>
    <m/>
    <s v="Not Applicable"/>
    <s v="Rejected"/>
    <m/>
    <s v="Not Applicable"/>
    <m/>
    <m/>
    <m/>
    <m/>
    <x v="1"/>
    <n v="0"/>
  </r>
  <r>
    <s v="CAND0072"/>
    <s v="Isha Kapoor"/>
    <x v="61"/>
    <x v="2"/>
    <x v="2"/>
    <x v="5"/>
    <x v="1"/>
    <x v="2"/>
    <s v="Rejected"/>
    <s v="Not Applicable"/>
    <m/>
    <s v="Not Applicable"/>
    <s v="Rejected"/>
    <m/>
    <s v="Not Applicable"/>
    <m/>
    <m/>
    <m/>
    <m/>
    <x v="1"/>
    <n v="0"/>
  </r>
  <r>
    <s v="CAND0073"/>
    <s v="Nisha Chauhan"/>
    <x v="62"/>
    <x v="2"/>
    <x v="2"/>
    <x v="3"/>
    <x v="0"/>
    <x v="3"/>
    <s v="Passed"/>
    <s v="Round 1"/>
    <d v="2026-06-09T00:00:00"/>
    <s v="Completed"/>
    <s v="Rejected"/>
    <m/>
    <s v="Not Applicable"/>
    <m/>
    <n v="6"/>
    <m/>
    <m/>
    <x v="1"/>
    <n v="0"/>
  </r>
  <r>
    <s v="CAND0074"/>
    <s v="Aanya Mehta"/>
    <x v="1"/>
    <x v="3"/>
    <x v="1"/>
    <x v="4"/>
    <x v="5"/>
    <x v="4"/>
    <s v="Rejected"/>
    <s v="Not Applicable"/>
    <m/>
    <s v="Not Applicable"/>
    <s v="Rejected"/>
    <m/>
    <s v="Not Applicable"/>
    <m/>
    <m/>
    <m/>
    <m/>
    <x v="1"/>
    <n v="0"/>
  </r>
  <r>
    <s v="CAND0075"/>
    <s v="Meera Kapoor"/>
    <x v="63"/>
    <x v="3"/>
    <x v="1"/>
    <x v="2"/>
    <x v="1"/>
    <x v="4"/>
    <s v="Passed"/>
    <s v="Round 1"/>
    <d v="2026-05-30T00:00:00"/>
    <s v="Completed"/>
    <s v="Rejected"/>
    <m/>
    <s v="Not Applicable"/>
    <m/>
    <n v="5"/>
    <m/>
    <m/>
    <x v="1"/>
    <n v="0"/>
  </r>
  <r>
    <s v="CAND0076"/>
    <s v="Diya Patel"/>
    <x v="64"/>
    <x v="2"/>
    <x v="2"/>
    <x v="2"/>
    <x v="5"/>
    <x v="2"/>
    <s v="Rejected"/>
    <s v="Not Applicable"/>
    <m/>
    <s v="Not Applicable"/>
    <s v="Rejected"/>
    <m/>
    <s v="Not Applicable"/>
    <m/>
    <m/>
    <m/>
    <m/>
    <x v="1"/>
    <n v="0"/>
  </r>
  <r>
    <s v="CAND0077"/>
    <s v="Karan Mishra"/>
    <x v="65"/>
    <x v="1"/>
    <x v="1"/>
    <x v="4"/>
    <x v="0"/>
    <x v="1"/>
    <s v="Rejected"/>
    <s v="Not Applicable"/>
    <m/>
    <s v="Not Applicable"/>
    <s v="Rejected"/>
    <m/>
    <s v="Not Applicable"/>
    <m/>
    <m/>
    <m/>
    <m/>
    <x v="1"/>
    <n v="0"/>
  </r>
  <r>
    <s v="CAND0078"/>
    <s v="Ananya Gupta"/>
    <x v="66"/>
    <x v="2"/>
    <x v="2"/>
    <x v="5"/>
    <x v="4"/>
    <x v="2"/>
    <s v="Rejected"/>
    <s v="Not Applicable"/>
    <m/>
    <s v="Not Applicable"/>
    <s v="Rejected"/>
    <m/>
    <s v="Not Applicable"/>
    <m/>
    <m/>
    <m/>
    <m/>
    <x v="1"/>
    <n v="0"/>
  </r>
  <r>
    <s v="CAND0079"/>
    <s v="Ananya Kapoor"/>
    <x v="47"/>
    <x v="1"/>
    <x v="1"/>
    <x v="3"/>
    <x v="1"/>
    <x v="4"/>
    <s v="Rejected"/>
    <s v="Not Applicable"/>
    <m/>
    <s v="Not Applicable"/>
    <s v="Rejected"/>
    <m/>
    <s v="Not Applicable"/>
    <m/>
    <m/>
    <m/>
    <m/>
    <x v="1"/>
    <n v="0"/>
  </r>
  <r>
    <s v="CAND0080"/>
    <s v="Arjun Sinha"/>
    <x v="67"/>
    <x v="3"/>
    <x v="1"/>
    <x v="4"/>
    <x v="4"/>
    <x v="1"/>
    <s v="Passed"/>
    <s v="Round 1"/>
    <d v="2026-02-04T00:00:00"/>
    <s v="Completed"/>
    <s v="Selected"/>
    <d v="2026-02-10T00:00:00"/>
    <s v="Joined"/>
    <d v="2026-03-02T00:00:00"/>
    <n v="9"/>
    <n v="6"/>
    <n v="20"/>
    <x v="0"/>
    <n v="1"/>
  </r>
  <r>
    <s v="CAND0081"/>
    <s v="Diya Kapoor"/>
    <x v="53"/>
    <x v="2"/>
    <x v="2"/>
    <x v="4"/>
    <x v="5"/>
    <x v="2"/>
    <s v="Rejected"/>
    <s v="Not Applicable"/>
    <m/>
    <s v="Not Applicable"/>
    <s v="Rejected"/>
    <m/>
    <s v="Not Applicable"/>
    <m/>
    <m/>
    <m/>
    <m/>
    <x v="1"/>
    <n v="0"/>
  </r>
  <r>
    <s v="CAND0082"/>
    <s v="Rohan Mishra"/>
    <x v="68"/>
    <x v="2"/>
    <x v="2"/>
    <x v="4"/>
    <x v="0"/>
    <x v="4"/>
    <s v="Rejected"/>
    <s v="Not Applicable"/>
    <m/>
    <s v="Not Applicable"/>
    <s v="Rejected"/>
    <m/>
    <s v="Not Applicable"/>
    <m/>
    <m/>
    <m/>
    <m/>
    <x v="1"/>
    <n v="0"/>
  </r>
  <r>
    <s v="CAND0083"/>
    <s v="Karan Verma"/>
    <x v="69"/>
    <x v="2"/>
    <x v="2"/>
    <x v="3"/>
    <x v="2"/>
    <x v="2"/>
    <s v="Passed"/>
    <s v="Not Applicable"/>
    <m/>
    <s v="Not Scheduled"/>
    <s v="In Process"/>
    <m/>
    <s v="Not Applicable"/>
    <m/>
    <m/>
    <m/>
    <m/>
    <x v="2"/>
    <n v="0"/>
  </r>
  <r>
    <s v="CAND0084"/>
    <s v="Reyansh Rao"/>
    <x v="70"/>
    <x v="3"/>
    <x v="1"/>
    <x v="3"/>
    <x v="3"/>
    <x v="1"/>
    <s v="Rejected"/>
    <s v="Not Applicable"/>
    <m/>
    <s v="Not Applicable"/>
    <s v="Rejected"/>
    <m/>
    <s v="Not Applicable"/>
    <m/>
    <m/>
    <m/>
    <m/>
    <x v="1"/>
    <n v="0"/>
  </r>
  <r>
    <s v="CAND0085"/>
    <s v="Diya Agarwal"/>
    <x v="65"/>
    <x v="2"/>
    <x v="2"/>
    <x v="4"/>
    <x v="0"/>
    <x v="0"/>
    <s v="Passed"/>
    <s v="Round 1"/>
    <d v="2026-08-29T00:00:00"/>
    <s v="Completed"/>
    <s v="Rejected"/>
    <m/>
    <s v="Not Applicable"/>
    <m/>
    <n v="12"/>
    <m/>
    <m/>
    <x v="1"/>
    <n v="0"/>
  </r>
  <r>
    <s v="CAND0086"/>
    <s v="Aarav Mishra"/>
    <x v="3"/>
    <x v="4"/>
    <x v="2"/>
    <x v="3"/>
    <x v="5"/>
    <x v="3"/>
    <s v="Rejected"/>
    <s v="Not Applicable"/>
    <m/>
    <s v="Not Applicable"/>
    <s v="Rejected"/>
    <m/>
    <s v="Not Applicable"/>
    <m/>
    <m/>
    <m/>
    <m/>
    <x v="1"/>
    <n v="0"/>
  </r>
  <r>
    <s v="CAND0087"/>
    <s v="Nisha Mishra"/>
    <x v="71"/>
    <x v="5"/>
    <x v="1"/>
    <x v="5"/>
    <x v="0"/>
    <x v="2"/>
    <s v="Passed"/>
    <s v="Not Applicable"/>
    <m/>
    <s v="Not Scheduled"/>
    <s v="In Process"/>
    <m/>
    <s v="Not Applicable"/>
    <m/>
    <m/>
    <m/>
    <m/>
    <x v="2"/>
    <n v="0"/>
  </r>
  <r>
    <s v="CAND0088"/>
    <s v="Aarav Gupta"/>
    <x v="14"/>
    <x v="1"/>
    <x v="1"/>
    <x v="2"/>
    <x v="1"/>
    <x v="1"/>
    <s v="Rejected"/>
    <s v="Not Applicable"/>
    <m/>
    <s v="Not Applicable"/>
    <s v="Rejected"/>
    <m/>
    <s v="Not Applicable"/>
    <m/>
    <m/>
    <m/>
    <m/>
    <x v="1"/>
    <n v="0"/>
  </r>
  <r>
    <s v="CAND0089"/>
    <s v="Arjun Patel"/>
    <x v="8"/>
    <x v="4"/>
    <x v="2"/>
    <x v="3"/>
    <x v="3"/>
    <x v="0"/>
    <s v="Passed"/>
    <s v="Not Applicable"/>
    <m/>
    <s v="Not Scheduled"/>
    <s v="In Process"/>
    <m/>
    <s v="Not Applicable"/>
    <m/>
    <m/>
    <m/>
    <m/>
    <x v="2"/>
    <n v="0"/>
  </r>
  <r>
    <s v="CAND0090"/>
    <s v="Sana Kapoor"/>
    <x v="72"/>
    <x v="5"/>
    <x v="1"/>
    <x v="4"/>
    <x v="4"/>
    <x v="0"/>
    <s v="Passed"/>
    <s v="Not Applicable"/>
    <m/>
    <s v="Not Scheduled"/>
    <s v="In Process"/>
    <m/>
    <s v="Not Applicable"/>
    <m/>
    <m/>
    <m/>
    <m/>
    <x v="2"/>
    <n v="0"/>
  </r>
  <r>
    <s v="CAND0091"/>
    <s v="Nisha Singh"/>
    <x v="73"/>
    <x v="0"/>
    <x v="0"/>
    <x v="4"/>
    <x v="0"/>
    <x v="1"/>
    <s v="Rejected"/>
    <s v="Not Applicable"/>
    <m/>
    <s v="Not Applicable"/>
    <s v="Rejected"/>
    <m/>
    <s v="Not Applicable"/>
    <m/>
    <m/>
    <m/>
    <m/>
    <x v="1"/>
    <n v="0"/>
  </r>
  <r>
    <s v="CAND0092"/>
    <s v="Aanya Agarwal"/>
    <x v="40"/>
    <x v="0"/>
    <x v="0"/>
    <x v="2"/>
    <x v="3"/>
    <x v="2"/>
    <s v="Rejected"/>
    <s v="Not Applicable"/>
    <m/>
    <s v="Not Applicable"/>
    <s v="Rejected"/>
    <m/>
    <s v="Not Applicable"/>
    <m/>
    <m/>
    <m/>
    <m/>
    <x v="1"/>
    <n v="0"/>
  </r>
  <r>
    <s v="CAND0093"/>
    <s v="Aanya Gupta"/>
    <x v="74"/>
    <x v="2"/>
    <x v="2"/>
    <x v="4"/>
    <x v="0"/>
    <x v="1"/>
    <s v="Rejected"/>
    <s v="Not Applicable"/>
    <m/>
    <s v="Not Applicable"/>
    <s v="Rejected"/>
    <m/>
    <s v="Not Applicable"/>
    <m/>
    <m/>
    <m/>
    <m/>
    <x v="1"/>
    <n v="0"/>
  </r>
  <r>
    <s v="CAND0094"/>
    <s v="Isha Khan"/>
    <x v="75"/>
    <x v="1"/>
    <x v="1"/>
    <x v="4"/>
    <x v="4"/>
    <x v="1"/>
    <s v="Passed"/>
    <s v="Round 1"/>
    <d v="2026-05-27T00:00:00"/>
    <s v="Completed"/>
    <s v="Selected"/>
    <d v="2026-05-29T00:00:00"/>
    <s v="Offer Declined"/>
    <m/>
    <n v="14"/>
    <n v="2"/>
    <m/>
    <x v="0"/>
    <n v="1"/>
  </r>
  <r>
    <s v="CAND0095"/>
    <s v="Meera Mehta"/>
    <x v="76"/>
    <x v="2"/>
    <x v="2"/>
    <x v="2"/>
    <x v="2"/>
    <x v="3"/>
    <s v="Rejected"/>
    <s v="Not Applicable"/>
    <m/>
    <s v="Not Applicable"/>
    <s v="Rejected"/>
    <m/>
    <s v="Not Applicable"/>
    <m/>
    <m/>
    <m/>
    <m/>
    <x v="1"/>
    <n v="0"/>
  </r>
  <r>
    <s v="CAND0096"/>
    <s v="Ishaan Verma"/>
    <x v="77"/>
    <x v="2"/>
    <x v="2"/>
    <x v="1"/>
    <x v="4"/>
    <x v="3"/>
    <s v="Passed"/>
    <s v="Round 1"/>
    <d v="2026-05-22T00:00:00"/>
    <s v="Completed"/>
    <s v="Rejected"/>
    <m/>
    <s v="Not Applicable"/>
    <m/>
    <n v="5"/>
    <m/>
    <m/>
    <x v="1"/>
    <n v="0"/>
  </r>
  <r>
    <s v="CAND0097"/>
    <s v="Ananya Patel"/>
    <x v="78"/>
    <x v="4"/>
    <x v="2"/>
    <x v="5"/>
    <x v="0"/>
    <x v="4"/>
    <s v="Passed"/>
    <s v="Round 1"/>
    <d v="2026-01-21T00:00:00"/>
    <s v="Completed"/>
    <s v="Rejected"/>
    <m/>
    <s v="Not Applicable"/>
    <m/>
    <n v="4"/>
    <m/>
    <m/>
    <x v="1"/>
    <n v="0"/>
  </r>
  <r>
    <s v="CAND0098"/>
    <s v="Reyansh Sharma"/>
    <x v="62"/>
    <x v="2"/>
    <x v="2"/>
    <x v="4"/>
    <x v="4"/>
    <x v="1"/>
    <s v="Passed"/>
    <s v="Round 1"/>
    <d v="2026-06-19T00:00:00"/>
    <s v="Completed"/>
    <s v="Rejected"/>
    <m/>
    <s v="Not Applicable"/>
    <m/>
    <n v="16"/>
    <m/>
    <m/>
    <x v="1"/>
    <n v="0"/>
  </r>
  <r>
    <s v="CAND0099"/>
    <s v="Riya Kapoor"/>
    <x v="61"/>
    <x v="3"/>
    <x v="1"/>
    <x v="2"/>
    <x v="5"/>
    <x v="3"/>
    <s v="Passed"/>
    <s v="Round 1"/>
    <d v="2026-09-30T00:00:00"/>
    <s v="Completed"/>
    <s v="Rejected"/>
    <m/>
    <s v="Not Applicable"/>
    <m/>
    <n v="16"/>
    <m/>
    <m/>
    <x v="1"/>
    <n v="0"/>
  </r>
  <r>
    <s v="CAND0100"/>
    <s v="Arjun Sharma"/>
    <x v="45"/>
    <x v="2"/>
    <x v="2"/>
    <x v="1"/>
    <x v="4"/>
    <x v="2"/>
    <s v="Passed"/>
    <s v="Round 1"/>
    <d v="2026-01-25T00:00:00"/>
    <s v="Completed"/>
    <s v="Rejected"/>
    <m/>
    <s v="Not Applicable"/>
    <m/>
    <n v="6"/>
    <m/>
    <m/>
    <x v="1"/>
    <n v="0"/>
  </r>
  <r>
    <s v="CAND0101"/>
    <s v="Vivaan Malhotra"/>
    <x v="79"/>
    <x v="1"/>
    <x v="1"/>
    <x v="2"/>
    <x v="3"/>
    <x v="2"/>
    <s v="Rejected"/>
    <s v="Not Applicable"/>
    <m/>
    <s v="Not Applicable"/>
    <s v="Rejected"/>
    <m/>
    <s v="Not Applicable"/>
    <m/>
    <m/>
    <m/>
    <m/>
    <x v="1"/>
    <n v="0"/>
  </r>
  <r>
    <s v="CAND0102"/>
    <s v="Aditya Kapoor"/>
    <x v="80"/>
    <x v="1"/>
    <x v="1"/>
    <x v="5"/>
    <x v="2"/>
    <x v="4"/>
    <s v="Rejected"/>
    <s v="Not Applicable"/>
    <m/>
    <s v="Not Applicable"/>
    <s v="Rejected"/>
    <m/>
    <s v="Not Applicable"/>
    <m/>
    <m/>
    <m/>
    <m/>
    <x v="1"/>
    <n v="0"/>
  </r>
  <r>
    <s v="CAND0103"/>
    <s v="Meera Kapoor"/>
    <x v="81"/>
    <x v="2"/>
    <x v="2"/>
    <x v="0"/>
    <x v="0"/>
    <x v="3"/>
    <s v="Rejected"/>
    <s v="Not Applicable"/>
    <m/>
    <s v="Not Applicable"/>
    <s v="Rejected"/>
    <m/>
    <s v="Not Applicable"/>
    <m/>
    <m/>
    <m/>
    <m/>
    <x v="1"/>
    <n v="0"/>
  </r>
  <r>
    <s v="CAND0104"/>
    <s v="Isha Chauhan"/>
    <x v="82"/>
    <x v="1"/>
    <x v="1"/>
    <x v="0"/>
    <x v="1"/>
    <x v="1"/>
    <s v="Rejected"/>
    <s v="Not Applicable"/>
    <m/>
    <s v="Not Applicable"/>
    <s v="Rejected"/>
    <m/>
    <s v="Not Applicable"/>
    <m/>
    <m/>
    <m/>
    <m/>
    <x v="1"/>
    <n v="0"/>
  </r>
  <r>
    <s v="CAND0105"/>
    <s v="Kavya Verma"/>
    <x v="83"/>
    <x v="4"/>
    <x v="2"/>
    <x v="0"/>
    <x v="4"/>
    <x v="0"/>
    <s v="Rejected"/>
    <s v="Not Applicable"/>
    <m/>
    <s v="Not Applicable"/>
    <s v="Rejected"/>
    <m/>
    <s v="Not Applicable"/>
    <m/>
    <m/>
    <m/>
    <m/>
    <x v="1"/>
    <n v="0"/>
  </r>
  <r>
    <s v="CAND0106"/>
    <s v="Kabir Patel"/>
    <x v="84"/>
    <x v="3"/>
    <x v="1"/>
    <x v="2"/>
    <x v="0"/>
    <x v="1"/>
    <s v="Rejected"/>
    <s v="Not Applicable"/>
    <m/>
    <s v="Not Applicable"/>
    <s v="Rejected"/>
    <m/>
    <s v="Not Applicable"/>
    <m/>
    <m/>
    <m/>
    <m/>
    <x v="1"/>
    <n v="0"/>
  </r>
  <r>
    <s v="CAND0107"/>
    <s v="Aanya Kapoor"/>
    <x v="50"/>
    <x v="4"/>
    <x v="2"/>
    <x v="4"/>
    <x v="5"/>
    <x v="1"/>
    <s v="Rejected"/>
    <s v="Not Applicable"/>
    <m/>
    <s v="Not Applicable"/>
    <s v="Rejected"/>
    <m/>
    <s v="Not Applicable"/>
    <m/>
    <m/>
    <m/>
    <m/>
    <x v="1"/>
    <n v="0"/>
  </r>
  <r>
    <s v="CAND0108"/>
    <s v="Diya Mehta"/>
    <x v="85"/>
    <x v="1"/>
    <x v="1"/>
    <x v="5"/>
    <x v="1"/>
    <x v="4"/>
    <s v="Passed"/>
    <s v="Round 1"/>
    <d v="2026-03-27T00:00:00"/>
    <s v="Completed"/>
    <s v="Rejected"/>
    <m/>
    <s v="Not Applicable"/>
    <m/>
    <n v="5"/>
    <m/>
    <m/>
    <x v="1"/>
    <n v="0"/>
  </r>
  <r>
    <s v="CAND0109"/>
    <s v="Vivaan Mishra"/>
    <x v="86"/>
    <x v="2"/>
    <x v="2"/>
    <x v="5"/>
    <x v="2"/>
    <x v="2"/>
    <s v="Rejected"/>
    <s v="Not Applicable"/>
    <m/>
    <s v="Not Applicable"/>
    <s v="Rejected"/>
    <m/>
    <s v="Not Applicable"/>
    <m/>
    <m/>
    <m/>
    <m/>
    <x v="1"/>
    <n v="0"/>
  </r>
  <r>
    <s v="CAND0110"/>
    <s v="Aanya Mishra"/>
    <x v="55"/>
    <x v="0"/>
    <x v="0"/>
    <x v="0"/>
    <x v="1"/>
    <x v="4"/>
    <s v="Passed"/>
    <s v="Round 1"/>
    <d v="2026-03-29T00:00:00"/>
    <s v="Completed"/>
    <s v="Rejected"/>
    <m/>
    <s v="Not Applicable"/>
    <m/>
    <n v="13"/>
    <m/>
    <m/>
    <x v="1"/>
    <n v="0"/>
  </r>
  <r>
    <s v="CAND0111"/>
    <s v="Aanya Sinha"/>
    <x v="30"/>
    <x v="2"/>
    <x v="2"/>
    <x v="5"/>
    <x v="0"/>
    <x v="3"/>
    <s v="Rejected"/>
    <s v="Not Applicable"/>
    <m/>
    <s v="Not Applicable"/>
    <s v="Rejected"/>
    <m/>
    <s v="Not Applicable"/>
    <m/>
    <m/>
    <m/>
    <m/>
    <x v="1"/>
    <n v="0"/>
  </r>
  <r>
    <s v="CAND0112"/>
    <s v="Nisha Khan"/>
    <x v="87"/>
    <x v="0"/>
    <x v="0"/>
    <x v="0"/>
    <x v="5"/>
    <x v="2"/>
    <s v="Passed"/>
    <s v="Not Applicable"/>
    <m/>
    <s v="Not Scheduled"/>
    <s v="In Process"/>
    <m/>
    <s v="Not Applicable"/>
    <m/>
    <m/>
    <m/>
    <m/>
    <x v="2"/>
    <n v="0"/>
  </r>
  <r>
    <s v="CAND0113"/>
    <s v="Reyansh Singh"/>
    <x v="88"/>
    <x v="5"/>
    <x v="1"/>
    <x v="2"/>
    <x v="5"/>
    <x v="4"/>
    <s v="Rejected"/>
    <s v="Not Applicable"/>
    <m/>
    <s v="Not Applicable"/>
    <s v="Rejected"/>
    <m/>
    <s v="Not Applicable"/>
    <m/>
    <m/>
    <m/>
    <m/>
    <x v="1"/>
    <n v="0"/>
  </r>
  <r>
    <s v="CAND0114"/>
    <s v="Ananya Verma"/>
    <x v="52"/>
    <x v="5"/>
    <x v="1"/>
    <x v="4"/>
    <x v="3"/>
    <x v="4"/>
    <s v="Passed"/>
    <s v="Round 1"/>
    <d v="2026-04-22T00:00:00"/>
    <s v="Completed"/>
    <s v="Selected"/>
    <d v="2026-04-28T00:00:00"/>
    <s v="Offer Declined"/>
    <m/>
    <n v="14"/>
    <n v="6"/>
    <m/>
    <x v="0"/>
    <n v="1"/>
  </r>
  <r>
    <s v="CAND0115"/>
    <s v="Reyansh Agarwal"/>
    <x v="86"/>
    <x v="0"/>
    <x v="0"/>
    <x v="4"/>
    <x v="0"/>
    <x v="4"/>
    <s v="Passed"/>
    <s v="Not Applicable"/>
    <m/>
    <s v="Not Scheduled"/>
    <s v="In Process"/>
    <m/>
    <s v="Not Applicable"/>
    <m/>
    <m/>
    <m/>
    <m/>
    <x v="2"/>
    <n v="0"/>
  </r>
  <r>
    <s v="CAND0116"/>
    <s v="Rohan Verma"/>
    <x v="89"/>
    <x v="3"/>
    <x v="1"/>
    <x v="0"/>
    <x v="2"/>
    <x v="1"/>
    <s v="Rejected"/>
    <s v="Not Applicable"/>
    <m/>
    <s v="Not Applicable"/>
    <s v="Rejected"/>
    <m/>
    <s v="Not Applicable"/>
    <m/>
    <m/>
    <m/>
    <m/>
    <x v="1"/>
    <n v="0"/>
  </r>
  <r>
    <s v="CAND0117"/>
    <s v="Priya Chauhan"/>
    <x v="90"/>
    <x v="3"/>
    <x v="1"/>
    <x v="5"/>
    <x v="0"/>
    <x v="0"/>
    <s v="Rejected"/>
    <s v="Not Applicable"/>
    <m/>
    <s v="Not Applicable"/>
    <s v="Rejected"/>
    <m/>
    <s v="Not Applicable"/>
    <m/>
    <m/>
    <m/>
    <m/>
    <x v="1"/>
    <n v="0"/>
  </r>
  <r>
    <s v="CAND0118"/>
    <s v="Kabir Patel"/>
    <x v="90"/>
    <x v="4"/>
    <x v="2"/>
    <x v="3"/>
    <x v="2"/>
    <x v="0"/>
    <s v="Rejected"/>
    <s v="Not Applicable"/>
    <m/>
    <s v="Not Applicable"/>
    <s v="Rejected"/>
    <m/>
    <s v="Not Applicable"/>
    <m/>
    <m/>
    <m/>
    <m/>
    <x v="1"/>
    <n v="0"/>
  </r>
  <r>
    <s v="CAND0119"/>
    <s v="Diya Agarwal"/>
    <x v="14"/>
    <x v="1"/>
    <x v="1"/>
    <x v="3"/>
    <x v="2"/>
    <x v="3"/>
    <s v="Rejected"/>
    <s v="Not Applicable"/>
    <m/>
    <s v="Not Applicable"/>
    <s v="Rejected"/>
    <m/>
    <s v="Not Applicable"/>
    <m/>
    <m/>
    <m/>
    <m/>
    <x v="1"/>
    <n v="0"/>
  </r>
  <r>
    <s v="CAND0120"/>
    <s v="Isha Chauhan"/>
    <x v="29"/>
    <x v="2"/>
    <x v="2"/>
    <x v="5"/>
    <x v="1"/>
    <x v="2"/>
    <s v="Passed"/>
    <s v="Not Applicable"/>
    <m/>
    <s v="Not Scheduled"/>
    <s v="In Process"/>
    <m/>
    <s v="Not Applicable"/>
    <m/>
    <m/>
    <m/>
    <m/>
    <x v="2"/>
    <n v="0"/>
  </r>
  <r>
    <s v="CAND0121"/>
    <s v="Kavya Chauhan"/>
    <x v="30"/>
    <x v="0"/>
    <x v="0"/>
    <x v="4"/>
    <x v="0"/>
    <x v="3"/>
    <s v="Rejected"/>
    <s v="Not Applicable"/>
    <m/>
    <s v="Not Applicable"/>
    <s v="Rejected"/>
    <m/>
    <s v="Not Applicable"/>
    <m/>
    <m/>
    <m/>
    <m/>
    <x v="1"/>
    <n v="0"/>
  </r>
  <r>
    <s v="CAND0122"/>
    <s v="Ananya Kapoor"/>
    <x v="0"/>
    <x v="2"/>
    <x v="2"/>
    <x v="4"/>
    <x v="1"/>
    <x v="1"/>
    <s v="Passed"/>
    <s v="Not Applicable"/>
    <m/>
    <s v="Not Scheduled"/>
    <s v="In Process"/>
    <m/>
    <s v="Not Applicable"/>
    <m/>
    <m/>
    <m/>
    <m/>
    <x v="2"/>
    <n v="0"/>
  </r>
  <r>
    <s v="CAND0123"/>
    <s v="Diya Verma"/>
    <x v="91"/>
    <x v="5"/>
    <x v="1"/>
    <x v="0"/>
    <x v="1"/>
    <x v="1"/>
    <s v="Rejected"/>
    <s v="Not Applicable"/>
    <m/>
    <s v="Not Applicable"/>
    <s v="Rejected"/>
    <m/>
    <s v="Not Applicable"/>
    <m/>
    <m/>
    <m/>
    <m/>
    <x v="1"/>
    <n v="0"/>
  </r>
  <r>
    <s v="CAND0124"/>
    <s v="Diya Sinha"/>
    <x v="21"/>
    <x v="1"/>
    <x v="1"/>
    <x v="4"/>
    <x v="1"/>
    <x v="3"/>
    <s v="Rejected"/>
    <s v="Not Applicable"/>
    <m/>
    <s v="Not Applicable"/>
    <s v="Rejected"/>
    <m/>
    <s v="Not Applicable"/>
    <m/>
    <m/>
    <m/>
    <m/>
    <x v="1"/>
    <n v="0"/>
  </r>
  <r>
    <s v="CAND0125"/>
    <s v="Aanya Chauhan"/>
    <x v="82"/>
    <x v="0"/>
    <x v="0"/>
    <x v="2"/>
    <x v="3"/>
    <x v="4"/>
    <s v="Passed"/>
    <s v="Round 1"/>
    <d v="2026-04-17T00:00:00"/>
    <s v="Completed"/>
    <s v="Rejected"/>
    <m/>
    <s v="Not Applicable"/>
    <m/>
    <n v="11"/>
    <m/>
    <m/>
    <x v="1"/>
    <n v="0"/>
  </r>
  <r>
    <s v="CAND0126"/>
    <s v="Kavya Gupta"/>
    <x v="92"/>
    <x v="2"/>
    <x v="2"/>
    <x v="1"/>
    <x v="5"/>
    <x v="4"/>
    <s v="Passed"/>
    <s v="Round 1"/>
    <d v="2026-10-10T00:00:00"/>
    <s v="Completed"/>
    <s v="Rejected"/>
    <m/>
    <s v="Not Applicable"/>
    <m/>
    <n v="17"/>
    <m/>
    <m/>
    <x v="1"/>
    <n v="0"/>
  </r>
  <r>
    <s v="CAND0127"/>
    <s v="Kabir Rao"/>
    <x v="42"/>
    <x v="3"/>
    <x v="1"/>
    <x v="4"/>
    <x v="0"/>
    <x v="4"/>
    <s v="Passed"/>
    <s v="Round 1"/>
    <d v="2026-06-03T00:00:00"/>
    <s v="Completed"/>
    <s v="Selected"/>
    <m/>
    <s v="Not Applicable"/>
    <m/>
    <n v="8"/>
    <m/>
    <m/>
    <x v="0"/>
    <n v="1"/>
  </r>
  <r>
    <s v="CAND0128"/>
    <s v="Ishaan Gupta"/>
    <x v="14"/>
    <x v="1"/>
    <x v="1"/>
    <x v="1"/>
    <x v="2"/>
    <x v="0"/>
    <s v="Rejected"/>
    <s v="Not Applicable"/>
    <m/>
    <s v="Not Applicable"/>
    <s v="Rejected"/>
    <m/>
    <s v="Not Applicable"/>
    <m/>
    <m/>
    <m/>
    <m/>
    <x v="1"/>
    <n v="0"/>
  </r>
  <r>
    <s v="CAND0129"/>
    <s v="Isha Agarwal"/>
    <x v="93"/>
    <x v="3"/>
    <x v="1"/>
    <x v="3"/>
    <x v="3"/>
    <x v="0"/>
    <s v="Rejected"/>
    <s v="Not Applicable"/>
    <m/>
    <s v="Not Applicable"/>
    <s v="Rejected"/>
    <m/>
    <s v="Not Applicable"/>
    <m/>
    <m/>
    <m/>
    <m/>
    <x v="1"/>
    <n v="0"/>
  </r>
  <r>
    <s v="CAND0130"/>
    <s v="Kabir Khan"/>
    <x v="94"/>
    <x v="2"/>
    <x v="2"/>
    <x v="4"/>
    <x v="0"/>
    <x v="3"/>
    <s v="Rejected"/>
    <s v="Not Applicable"/>
    <m/>
    <s v="Not Applicable"/>
    <s v="Rejected"/>
    <m/>
    <s v="Not Applicable"/>
    <m/>
    <m/>
    <m/>
    <m/>
    <x v="1"/>
    <n v="0"/>
  </r>
  <r>
    <s v="CAND0131"/>
    <s v="Priya Kapoor"/>
    <x v="19"/>
    <x v="1"/>
    <x v="1"/>
    <x v="5"/>
    <x v="2"/>
    <x v="2"/>
    <s v="Passed"/>
    <s v="Round 1"/>
    <d v="2026-02-28T00:00:00"/>
    <s v="Completed"/>
    <s v="Rejected"/>
    <m/>
    <s v="Not Applicable"/>
    <m/>
    <n v="5"/>
    <m/>
    <m/>
    <x v="1"/>
    <n v="0"/>
  </r>
  <r>
    <s v="CAND0132"/>
    <s v="Isha Khan"/>
    <x v="95"/>
    <x v="0"/>
    <x v="0"/>
    <x v="4"/>
    <x v="0"/>
    <x v="4"/>
    <s v="Rejected"/>
    <s v="Not Applicable"/>
    <m/>
    <s v="Not Applicable"/>
    <s v="Rejected"/>
    <m/>
    <s v="Not Applicable"/>
    <m/>
    <m/>
    <m/>
    <m/>
    <x v="1"/>
    <n v="0"/>
  </r>
  <r>
    <s v="CAND0133"/>
    <s v="Vivaan Malhotra"/>
    <x v="52"/>
    <x v="5"/>
    <x v="1"/>
    <x v="4"/>
    <x v="5"/>
    <x v="0"/>
    <s v="Rejected"/>
    <s v="Not Applicable"/>
    <m/>
    <s v="Not Applicable"/>
    <s v="Rejected"/>
    <m/>
    <s v="Not Applicable"/>
    <m/>
    <m/>
    <m/>
    <m/>
    <x v="1"/>
    <n v="0"/>
  </r>
  <r>
    <s v="CAND0134"/>
    <s v="Riya Sinha"/>
    <x v="96"/>
    <x v="0"/>
    <x v="0"/>
    <x v="1"/>
    <x v="1"/>
    <x v="3"/>
    <s v="Passed"/>
    <s v="Round 1"/>
    <d v="2026-06-24T00:00:00"/>
    <s v="Completed"/>
    <s v="Selected"/>
    <d v="2026-07-01T00:00:00"/>
    <s v="Joined"/>
    <d v="2026-07-15T00:00:00"/>
    <n v="5"/>
    <n v="7"/>
    <n v="14"/>
    <x v="0"/>
    <n v="1"/>
  </r>
  <r>
    <s v="CAND0135"/>
    <s v="Reyansh Verma"/>
    <x v="85"/>
    <x v="2"/>
    <x v="2"/>
    <x v="1"/>
    <x v="2"/>
    <x v="3"/>
    <s v="Rejected"/>
    <s v="Not Applicable"/>
    <m/>
    <s v="Not Applicable"/>
    <s v="Rejected"/>
    <m/>
    <s v="Not Applicable"/>
    <m/>
    <m/>
    <m/>
    <m/>
    <x v="1"/>
    <n v="0"/>
  </r>
  <r>
    <s v="CAND0136"/>
    <s v="Aarav Rao"/>
    <x v="97"/>
    <x v="4"/>
    <x v="2"/>
    <x v="5"/>
    <x v="0"/>
    <x v="3"/>
    <s v="Rejected"/>
    <s v="Not Applicable"/>
    <m/>
    <s v="Not Applicable"/>
    <s v="Rejected"/>
    <m/>
    <s v="Not Applicable"/>
    <m/>
    <m/>
    <m/>
    <m/>
    <x v="1"/>
    <n v="0"/>
  </r>
  <r>
    <s v="CAND0137"/>
    <s v="Rohan Malhotra"/>
    <x v="98"/>
    <x v="2"/>
    <x v="2"/>
    <x v="4"/>
    <x v="5"/>
    <x v="0"/>
    <s v="Rejected"/>
    <s v="Not Applicable"/>
    <m/>
    <s v="Not Applicable"/>
    <s v="Rejected"/>
    <m/>
    <s v="Not Applicable"/>
    <m/>
    <m/>
    <m/>
    <m/>
    <x v="1"/>
    <n v="0"/>
  </r>
  <r>
    <s v="CAND0138"/>
    <s v="Arjun Verma"/>
    <x v="83"/>
    <x v="1"/>
    <x v="1"/>
    <x v="1"/>
    <x v="3"/>
    <x v="2"/>
    <s v="Passed"/>
    <s v="Round 1"/>
    <d v="2026-01-12T00:00:00"/>
    <s v="Completed"/>
    <s v="Rejected"/>
    <m/>
    <s v="Not Applicable"/>
    <m/>
    <n v="5"/>
    <m/>
    <m/>
    <x v="1"/>
    <n v="0"/>
  </r>
  <r>
    <s v="CAND0139"/>
    <s v="Priya Mehta"/>
    <x v="99"/>
    <x v="0"/>
    <x v="0"/>
    <x v="4"/>
    <x v="0"/>
    <x v="0"/>
    <s v="Rejected"/>
    <s v="Not Applicable"/>
    <m/>
    <s v="Not Applicable"/>
    <s v="Rejected"/>
    <m/>
    <s v="Not Applicable"/>
    <m/>
    <m/>
    <m/>
    <m/>
    <x v="1"/>
    <n v="0"/>
  </r>
  <r>
    <s v="CAND0140"/>
    <s v="Rohan Singh"/>
    <x v="78"/>
    <x v="2"/>
    <x v="2"/>
    <x v="4"/>
    <x v="5"/>
    <x v="0"/>
    <s v="Rejected"/>
    <s v="Not Applicable"/>
    <m/>
    <s v="Not Applicable"/>
    <s v="Rejected"/>
    <m/>
    <s v="Not Applicable"/>
    <m/>
    <m/>
    <m/>
    <m/>
    <x v="1"/>
    <n v="0"/>
  </r>
  <r>
    <s v="CAND0141"/>
    <s v="Arjun Verma"/>
    <x v="100"/>
    <x v="5"/>
    <x v="1"/>
    <x v="2"/>
    <x v="2"/>
    <x v="0"/>
    <s v="Passed"/>
    <s v="Not Applicable"/>
    <m/>
    <s v="Not Scheduled"/>
    <s v="In Process"/>
    <m/>
    <s v="Not Applicable"/>
    <m/>
    <m/>
    <m/>
    <m/>
    <x v="2"/>
    <n v="0"/>
  </r>
  <r>
    <s v="CAND0142"/>
    <s v="Meera Sinha"/>
    <x v="101"/>
    <x v="2"/>
    <x v="2"/>
    <x v="3"/>
    <x v="4"/>
    <x v="4"/>
    <s v="Passed"/>
    <s v="Round 1"/>
    <d v="2026-08-24T00:00:00"/>
    <s v="Completed"/>
    <s v="Rejected"/>
    <m/>
    <s v="Not Applicable"/>
    <m/>
    <n v="17"/>
    <m/>
    <m/>
    <x v="1"/>
    <n v="0"/>
  </r>
  <r>
    <s v="CAND0143"/>
    <s v="Ananya Agarwal"/>
    <x v="31"/>
    <x v="0"/>
    <x v="0"/>
    <x v="3"/>
    <x v="0"/>
    <x v="0"/>
    <s v="Passed"/>
    <s v="Round 1"/>
    <d v="2026-07-29T00:00:00"/>
    <s v="Completed"/>
    <s v="Rejected"/>
    <m/>
    <s v="Not Applicable"/>
    <m/>
    <n v="6"/>
    <m/>
    <m/>
    <x v="1"/>
    <n v="0"/>
  </r>
  <r>
    <s v="CAND0144"/>
    <s v="Ananya Gupta"/>
    <x v="67"/>
    <x v="2"/>
    <x v="2"/>
    <x v="5"/>
    <x v="1"/>
    <x v="3"/>
    <s v="Passed"/>
    <s v="Round 1"/>
    <d v="2026-02-11T00:00:00"/>
    <s v="Completed"/>
    <s v="Rejected"/>
    <m/>
    <s v="Not Applicable"/>
    <m/>
    <n v="16"/>
    <m/>
    <m/>
    <x v="1"/>
    <n v="0"/>
  </r>
  <r>
    <s v="CAND0145"/>
    <s v="Aanya Kapoor"/>
    <x v="68"/>
    <x v="0"/>
    <x v="0"/>
    <x v="4"/>
    <x v="0"/>
    <x v="3"/>
    <s v="Rejected"/>
    <s v="Not Applicable"/>
    <m/>
    <s v="Not Applicable"/>
    <s v="Rejected"/>
    <m/>
    <s v="Not Applicable"/>
    <m/>
    <m/>
    <m/>
    <m/>
    <x v="1"/>
    <n v="0"/>
  </r>
  <r>
    <s v="CAND0146"/>
    <s v="Rohan Chauhan"/>
    <x v="102"/>
    <x v="0"/>
    <x v="0"/>
    <x v="0"/>
    <x v="2"/>
    <x v="1"/>
    <s v="Passed"/>
    <s v="Round 1"/>
    <d v="2026-04-06T00:00:00"/>
    <s v="Completed"/>
    <s v="Rejected"/>
    <m/>
    <s v="Not Applicable"/>
    <m/>
    <n v="4"/>
    <m/>
    <m/>
    <x v="1"/>
    <n v="0"/>
  </r>
  <r>
    <s v="CAND0147"/>
    <s v="Aanya Rao"/>
    <x v="103"/>
    <x v="2"/>
    <x v="2"/>
    <x v="3"/>
    <x v="0"/>
    <x v="1"/>
    <s v="Rejected"/>
    <s v="Not Applicable"/>
    <m/>
    <s v="Not Applicable"/>
    <s v="Rejected"/>
    <m/>
    <s v="Not Applicable"/>
    <m/>
    <m/>
    <m/>
    <m/>
    <x v="1"/>
    <n v="0"/>
  </r>
  <r>
    <s v="CAND0148"/>
    <s v="Sana Mishra"/>
    <x v="104"/>
    <x v="2"/>
    <x v="2"/>
    <x v="4"/>
    <x v="0"/>
    <x v="3"/>
    <s v="Rejected"/>
    <s v="Not Applicable"/>
    <m/>
    <s v="Not Applicable"/>
    <s v="Rejected"/>
    <m/>
    <s v="Not Applicable"/>
    <m/>
    <m/>
    <m/>
    <m/>
    <x v="1"/>
    <n v="0"/>
  </r>
  <r>
    <s v="CAND0149"/>
    <s v="Arjun Mehta"/>
    <x v="105"/>
    <x v="1"/>
    <x v="1"/>
    <x v="4"/>
    <x v="3"/>
    <x v="4"/>
    <s v="Passed"/>
    <s v="Round 1"/>
    <d v="2026-07-07T00:00:00"/>
    <s v="Completed"/>
    <s v="Rejected"/>
    <m/>
    <s v="Not Applicable"/>
    <m/>
    <n v="7"/>
    <m/>
    <m/>
    <x v="1"/>
    <n v="0"/>
  </r>
  <r>
    <s v="CAND0150"/>
    <s v="Ananya Sinha"/>
    <x v="106"/>
    <x v="3"/>
    <x v="1"/>
    <x v="3"/>
    <x v="0"/>
    <x v="0"/>
    <s v="Passed"/>
    <s v="Not Applicable"/>
    <m/>
    <s v="Not Scheduled"/>
    <s v="In Process"/>
    <m/>
    <s v="Not Applicable"/>
    <m/>
    <m/>
    <m/>
    <m/>
    <x v="2"/>
    <n v="0"/>
  </r>
  <r>
    <s v="CAND0151"/>
    <s v="Aarav Malhotra"/>
    <x v="107"/>
    <x v="2"/>
    <x v="2"/>
    <x v="2"/>
    <x v="0"/>
    <x v="3"/>
    <s v="Rejected"/>
    <s v="Not Applicable"/>
    <m/>
    <s v="Not Applicable"/>
    <s v="Rejected"/>
    <m/>
    <s v="Not Applicable"/>
    <m/>
    <m/>
    <m/>
    <m/>
    <x v="1"/>
    <n v="0"/>
  </r>
  <r>
    <s v="CAND0152"/>
    <s v="Meera Patel"/>
    <x v="108"/>
    <x v="1"/>
    <x v="1"/>
    <x v="3"/>
    <x v="4"/>
    <x v="4"/>
    <s v="Passed"/>
    <s v="Not Applicable"/>
    <m/>
    <s v="Not Scheduled"/>
    <s v="In Process"/>
    <m/>
    <s v="Not Applicable"/>
    <m/>
    <m/>
    <m/>
    <m/>
    <x v="2"/>
    <n v="0"/>
  </r>
  <r>
    <s v="CAND0153"/>
    <s v="Vivaan Patel"/>
    <x v="109"/>
    <x v="2"/>
    <x v="2"/>
    <x v="0"/>
    <x v="5"/>
    <x v="2"/>
    <s v="Passed"/>
    <s v="Round 1"/>
    <d v="2026-04-03T00:00:00"/>
    <s v="Completed"/>
    <s v="Selected"/>
    <d v="2026-04-06T00:00:00"/>
    <s v="Joined"/>
    <d v="2026-04-22T00:00:00"/>
    <n v="7"/>
    <n v="3"/>
    <n v="16"/>
    <x v="0"/>
    <n v="1"/>
  </r>
  <r>
    <s v="CAND0154"/>
    <s v="Karan Patel"/>
    <x v="36"/>
    <x v="4"/>
    <x v="2"/>
    <x v="4"/>
    <x v="2"/>
    <x v="1"/>
    <s v="Passed"/>
    <s v="Round 1"/>
    <d v="2026-04-09T00:00:00"/>
    <s v="Completed"/>
    <s v="Rejected"/>
    <m/>
    <s v="Not Applicable"/>
    <m/>
    <n v="9"/>
    <m/>
    <m/>
    <x v="1"/>
    <n v="0"/>
  </r>
  <r>
    <s v="CAND0155"/>
    <s v="Meera Rao"/>
    <x v="60"/>
    <x v="2"/>
    <x v="2"/>
    <x v="3"/>
    <x v="1"/>
    <x v="2"/>
    <s v="Passed"/>
    <s v="Not Applicable"/>
    <m/>
    <s v="Not Scheduled"/>
    <s v="In Process"/>
    <m/>
    <s v="Not Applicable"/>
    <m/>
    <m/>
    <m/>
    <m/>
    <x v="2"/>
    <n v="0"/>
  </r>
  <r>
    <s v="CAND0156"/>
    <s v="Diya Singh"/>
    <x v="83"/>
    <x v="4"/>
    <x v="2"/>
    <x v="1"/>
    <x v="1"/>
    <x v="2"/>
    <s v="Passed"/>
    <s v="Round 1"/>
    <d v="2026-01-22T00:00:00"/>
    <s v="Completed"/>
    <s v="Selected"/>
    <d v="2026-01-27T00:00:00"/>
    <s v="Joined"/>
    <d v="2026-02-18T00:00:00"/>
    <n v="15"/>
    <n v="5"/>
    <n v="22"/>
    <x v="0"/>
    <n v="1"/>
  </r>
  <r>
    <s v="CAND0157"/>
    <s v="Nisha Malhotra"/>
    <x v="43"/>
    <x v="3"/>
    <x v="1"/>
    <x v="3"/>
    <x v="1"/>
    <x v="0"/>
    <s v="Rejected"/>
    <s v="Not Applicable"/>
    <m/>
    <s v="Not Applicable"/>
    <s v="Rejected"/>
    <m/>
    <s v="Not Applicable"/>
    <m/>
    <m/>
    <m/>
    <m/>
    <x v="1"/>
    <n v="0"/>
  </r>
  <r>
    <s v="CAND0158"/>
    <s v="Meera Sharma"/>
    <x v="110"/>
    <x v="2"/>
    <x v="2"/>
    <x v="2"/>
    <x v="1"/>
    <x v="4"/>
    <s v="Passed"/>
    <s v="Round 1"/>
    <d v="2026-04-08T00:00:00"/>
    <s v="Completed"/>
    <s v="Rejected"/>
    <m/>
    <s v="Not Applicable"/>
    <m/>
    <n v="16"/>
    <m/>
    <m/>
    <x v="1"/>
    <n v="0"/>
  </r>
  <r>
    <s v="CAND0159"/>
    <s v="Sana Malhotra"/>
    <x v="111"/>
    <x v="0"/>
    <x v="0"/>
    <x v="2"/>
    <x v="4"/>
    <x v="1"/>
    <s v="Rejected"/>
    <s v="Not Applicable"/>
    <m/>
    <s v="Not Applicable"/>
    <s v="Rejected"/>
    <m/>
    <s v="Not Applicable"/>
    <m/>
    <m/>
    <m/>
    <m/>
    <x v="1"/>
    <n v="0"/>
  </r>
  <r>
    <s v="CAND0160"/>
    <s v="Arjun Verma"/>
    <x v="112"/>
    <x v="4"/>
    <x v="2"/>
    <x v="1"/>
    <x v="1"/>
    <x v="2"/>
    <s v="Rejected"/>
    <s v="Not Applicable"/>
    <m/>
    <s v="Not Applicable"/>
    <s v="Rejected"/>
    <m/>
    <s v="Not Applicable"/>
    <m/>
    <m/>
    <m/>
    <m/>
    <x v="1"/>
    <n v="0"/>
  </r>
  <r>
    <s v="CAND0161"/>
    <s v="Aditya Agarwal"/>
    <x v="113"/>
    <x v="4"/>
    <x v="2"/>
    <x v="4"/>
    <x v="3"/>
    <x v="0"/>
    <s v="Passed"/>
    <s v="Round 1"/>
    <d v="2026-09-23T00:00:00"/>
    <s v="Completed"/>
    <s v="Rejected"/>
    <m/>
    <s v="Not Applicable"/>
    <m/>
    <n v="4"/>
    <m/>
    <m/>
    <x v="1"/>
    <n v="0"/>
  </r>
  <r>
    <s v="CAND0162"/>
    <s v="Diya Mehta"/>
    <x v="114"/>
    <x v="5"/>
    <x v="1"/>
    <x v="3"/>
    <x v="1"/>
    <x v="2"/>
    <s v="Passed"/>
    <s v="Not Applicable"/>
    <m/>
    <s v="Not Scheduled"/>
    <s v="In Process"/>
    <m/>
    <s v="Not Applicable"/>
    <m/>
    <m/>
    <m/>
    <m/>
    <x v="2"/>
    <n v="0"/>
  </r>
  <r>
    <s v="CAND0163"/>
    <s v="Vivaan Singh"/>
    <x v="115"/>
    <x v="4"/>
    <x v="2"/>
    <x v="3"/>
    <x v="1"/>
    <x v="4"/>
    <s v="Passed"/>
    <s v="Not Applicable"/>
    <m/>
    <s v="Not Scheduled"/>
    <s v="In Process"/>
    <m/>
    <s v="Not Applicable"/>
    <m/>
    <m/>
    <m/>
    <m/>
    <x v="2"/>
    <n v="0"/>
  </r>
  <r>
    <s v="CAND0164"/>
    <s v="Meera Chauhan"/>
    <x v="65"/>
    <x v="2"/>
    <x v="2"/>
    <x v="1"/>
    <x v="1"/>
    <x v="1"/>
    <s v="Rejected"/>
    <s v="Not Applicable"/>
    <m/>
    <s v="Not Applicable"/>
    <s v="Rejected"/>
    <m/>
    <s v="Not Applicable"/>
    <m/>
    <m/>
    <m/>
    <m/>
    <x v="1"/>
    <n v="0"/>
  </r>
  <r>
    <s v="CAND0165"/>
    <s v="Karan Sharma"/>
    <x v="72"/>
    <x v="2"/>
    <x v="2"/>
    <x v="1"/>
    <x v="0"/>
    <x v="2"/>
    <s v="Rejected"/>
    <s v="Not Applicable"/>
    <m/>
    <s v="Not Applicable"/>
    <s v="Rejected"/>
    <m/>
    <s v="Not Applicable"/>
    <m/>
    <m/>
    <m/>
    <m/>
    <x v="1"/>
    <n v="0"/>
  </r>
  <r>
    <s v="CAND0166"/>
    <s v="Kabir Sharma"/>
    <x v="75"/>
    <x v="3"/>
    <x v="1"/>
    <x v="3"/>
    <x v="1"/>
    <x v="1"/>
    <s v="Passed"/>
    <s v="Round 1"/>
    <d v="2026-05-28T00:00:00"/>
    <s v="Completed"/>
    <s v="Rejected"/>
    <m/>
    <s v="Not Applicable"/>
    <m/>
    <n v="15"/>
    <m/>
    <m/>
    <x v="1"/>
    <n v="0"/>
  </r>
  <r>
    <s v="CAND0167"/>
    <s v="Kabir Gupta"/>
    <x v="116"/>
    <x v="0"/>
    <x v="0"/>
    <x v="5"/>
    <x v="1"/>
    <x v="1"/>
    <s v="Passed"/>
    <s v="Round 1"/>
    <d v="2026-05-12T00:00:00"/>
    <s v="Completed"/>
    <s v="Rejected"/>
    <m/>
    <s v="Not Applicable"/>
    <m/>
    <n v="12"/>
    <m/>
    <m/>
    <x v="1"/>
    <n v="0"/>
  </r>
  <r>
    <s v="CAND0168"/>
    <s v="Kavya Kapoor"/>
    <x v="46"/>
    <x v="2"/>
    <x v="2"/>
    <x v="5"/>
    <x v="5"/>
    <x v="0"/>
    <s v="Passed"/>
    <s v="Round 1"/>
    <d v="2026-01-08T00:00:00"/>
    <s v="Completed"/>
    <s v="Rejected"/>
    <m/>
    <s v="Not Applicable"/>
    <m/>
    <n v="7"/>
    <m/>
    <m/>
    <x v="1"/>
    <n v="0"/>
  </r>
  <r>
    <s v="CAND0169"/>
    <s v="Meera Rao"/>
    <x v="117"/>
    <x v="2"/>
    <x v="2"/>
    <x v="3"/>
    <x v="3"/>
    <x v="4"/>
    <s v="Rejected"/>
    <s v="Not Applicable"/>
    <m/>
    <s v="Not Applicable"/>
    <s v="Rejected"/>
    <m/>
    <s v="Not Applicable"/>
    <m/>
    <m/>
    <m/>
    <m/>
    <x v="1"/>
    <n v="0"/>
  </r>
  <r>
    <s v="CAND0170"/>
    <s v="Reyansh Verma"/>
    <x v="118"/>
    <x v="3"/>
    <x v="1"/>
    <x v="4"/>
    <x v="1"/>
    <x v="0"/>
    <s v="Passed"/>
    <s v="Not Applicable"/>
    <m/>
    <s v="Not Scheduled"/>
    <s v="In Process"/>
    <m/>
    <s v="Not Applicable"/>
    <m/>
    <m/>
    <m/>
    <m/>
    <x v="2"/>
    <n v="0"/>
  </r>
  <r>
    <s v="CAND0171"/>
    <s v="Ananya Agarwal"/>
    <x v="119"/>
    <x v="0"/>
    <x v="0"/>
    <x v="4"/>
    <x v="0"/>
    <x v="2"/>
    <s v="Rejected"/>
    <s v="Not Applicable"/>
    <m/>
    <s v="Not Applicable"/>
    <s v="Rejected"/>
    <m/>
    <s v="Not Applicable"/>
    <m/>
    <m/>
    <m/>
    <m/>
    <x v="1"/>
    <n v="0"/>
  </r>
  <r>
    <s v="CAND0172"/>
    <s v="Isha Gupta"/>
    <x v="120"/>
    <x v="3"/>
    <x v="1"/>
    <x v="5"/>
    <x v="2"/>
    <x v="4"/>
    <s v="Passed"/>
    <s v="Not Applicable"/>
    <m/>
    <s v="Not Scheduled"/>
    <s v="In Process"/>
    <m/>
    <s v="Not Applicable"/>
    <m/>
    <m/>
    <m/>
    <m/>
    <x v="2"/>
    <n v="0"/>
  </r>
  <r>
    <s v="CAND0173"/>
    <s v="Diya Mehta"/>
    <x v="46"/>
    <x v="2"/>
    <x v="2"/>
    <x v="2"/>
    <x v="1"/>
    <x v="0"/>
    <s v="Passed"/>
    <s v="Round 1"/>
    <d v="2026-01-05T00:00:00"/>
    <s v="Completed"/>
    <s v="Selected"/>
    <d v="2026-01-07T00:00:00"/>
    <s v="Joined"/>
    <d v="2026-02-01T00:00:00"/>
    <n v="4"/>
    <n v="2"/>
    <n v="25"/>
    <x v="0"/>
    <n v="1"/>
  </r>
  <r>
    <s v="CAND0174"/>
    <s v="Arjun Patel"/>
    <x v="121"/>
    <x v="4"/>
    <x v="2"/>
    <x v="5"/>
    <x v="4"/>
    <x v="0"/>
    <s v="Rejected"/>
    <s v="Not Applicable"/>
    <m/>
    <s v="Not Applicable"/>
    <s v="Rejected"/>
    <m/>
    <s v="Not Applicable"/>
    <m/>
    <m/>
    <m/>
    <m/>
    <x v="1"/>
    <n v="0"/>
  </r>
  <r>
    <s v="CAND0175"/>
    <s v="Aarav Kapoor"/>
    <x v="45"/>
    <x v="0"/>
    <x v="0"/>
    <x v="0"/>
    <x v="4"/>
    <x v="3"/>
    <s v="Rejected"/>
    <s v="Not Applicable"/>
    <m/>
    <s v="Not Applicable"/>
    <s v="Rejected"/>
    <m/>
    <s v="Not Applicable"/>
    <m/>
    <m/>
    <m/>
    <m/>
    <x v="1"/>
    <n v="0"/>
  </r>
  <r>
    <s v="CAND0176"/>
    <s v="Aditya Malhotra"/>
    <x v="3"/>
    <x v="3"/>
    <x v="1"/>
    <x v="1"/>
    <x v="1"/>
    <x v="0"/>
    <s v="Passed"/>
    <s v="Round 1"/>
    <d v="2026-04-03T00:00:00"/>
    <s v="Completed"/>
    <s v="Rejected"/>
    <m/>
    <s v="Not Applicable"/>
    <m/>
    <n v="4"/>
    <m/>
    <m/>
    <x v="1"/>
    <n v="0"/>
  </r>
  <r>
    <s v="CAND0177"/>
    <s v="Karan Singh"/>
    <x v="108"/>
    <x v="2"/>
    <x v="2"/>
    <x v="3"/>
    <x v="1"/>
    <x v="2"/>
    <s v="Rejected"/>
    <s v="Not Applicable"/>
    <m/>
    <s v="Not Applicable"/>
    <s v="Rejected"/>
    <m/>
    <s v="Not Applicable"/>
    <m/>
    <m/>
    <m/>
    <m/>
    <x v="1"/>
    <n v="0"/>
  </r>
  <r>
    <s v="CAND0178"/>
    <s v="Aanya Khan"/>
    <x v="122"/>
    <x v="1"/>
    <x v="1"/>
    <x v="1"/>
    <x v="1"/>
    <x v="0"/>
    <s v="Rejected"/>
    <s v="Not Applicable"/>
    <m/>
    <s v="Not Applicable"/>
    <s v="Rejected"/>
    <m/>
    <s v="Not Applicable"/>
    <m/>
    <m/>
    <m/>
    <m/>
    <x v="1"/>
    <n v="0"/>
  </r>
  <r>
    <s v="CAND0179"/>
    <s v="Ananya Sinha"/>
    <x v="123"/>
    <x v="4"/>
    <x v="2"/>
    <x v="0"/>
    <x v="4"/>
    <x v="2"/>
    <s v="Rejected"/>
    <s v="Not Applicable"/>
    <m/>
    <s v="Not Applicable"/>
    <s v="Rejected"/>
    <m/>
    <s v="Not Applicable"/>
    <m/>
    <m/>
    <m/>
    <m/>
    <x v="1"/>
    <n v="0"/>
  </r>
  <r>
    <s v="CAND0180"/>
    <s v="Arjun Rao"/>
    <x v="124"/>
    <x v="2"/>
    <x v="2"/>
    <x v="3"/>
    <x v="0"/>
    <x v="1"/>
    <s v="Rejected"/>
    <s v="Not Applicable"/>
    <m/>
    <s v="Not Applicable"/>
    <s v="Rejected"/>
    <m/>
    <s v="Not Applicable"/>
    <m/>
    <m/>
    <m/>
    <m/>
    <x v="1"/>
    <n v="0"/>
  </r>
  <r>
    <s v="CAND0181"/>
    <s v="Meera Malhotra"/>
    <x v="125"/>
    <x v="2"/>
    <x v="2"/>
    <x v="2"/>
    <x v="3"/>
    <x v="2"/>
    <s v="Passed"/>
    <s v="Round 1"/>
    <d v="2026-03-09T00:00:00"/>
    <s v="Completed"/>
    <s v="Rejected"/>
    <m/>
    <s v="Not Applicable"/>
    <m/>
    <n v="17"/>
    <m/>
    <m/>
    <x v="1"/>
    <n v="0"/>
  </r>
  <r>
    <s v="CAND0182"/>
    <s v="Ananya Mishra"/>
    <x v="7"/>
    <x v="3"/>
    <x v="1"/>
    <x v="3"/>
    <x v="1"/>
    <x v="4"/>
    <s v="Rejected"/>
    <s v="Not Applicable"/>
    <m/>
    <s v="Not Applicable"/>
    <s v="Rejected"/>
    <m/>
    <s v="Not Applicable"/>
    <m/>
    <m/>
    <m/>
    <m/>
    <x v="1"/>
    <n v="0"/>
  </r>
  <r>
    <s v="CAND0183"/>
    <s v="Ishaan Patel"/>
    <x v="126"/>
    <x v="2"/>
    <x v="2"/>
    <x v="3"/>
    <x v="1"/>
    <x v="4"/>
    <s v="Passed"/>
    <s v="Round 1"/>
    <d v="2026-04-25T00:00:00"/>
    <s v="Completed"/>
    <s v="Rejected"/>
    <m/>
    <s v="Not Applicable"/>
    <m/>
    <n v="7"/>
    <m/>
    <m/>
    <x v="1"/>
    <n v="0"/>
  </r>
  <r>
    <s v="CAND0184"/>
    <s v="Karan Agarwal"/>
    <x v="9"/>
    <x v="2"/>
    <x v="2"/>
    <x v="5"/>
    <x v="1"/>
    <x v="0"/>
    <s v="Rejected"/>
    <s v="Not Applicable"/>
    <m/>
    <s v="Not Applicable"/>
    <s v="Rejected"/>
    <m/>
    <s v="Not Applicable"/>
    <m/>
    <m/>
    <m/>
    <m/>
    <x v="1"/>
    <n v="0"/>
  </r>
  <r>
    <s v="CAND0185"/>
    <s v="Riya Sharma"/>
    <x v="127"/>
    <x v="4"/>
    <x v="2"/>
    <x v="2"/>
    <x v="0"/>
    <x v="2"/>
    <s v="Rejected"/>
    <s v="Not Applicable"/>
    <m/>
    <s v="Not Applicable"/>
    <s v="Rejected"/>
    <m/>
    <s v="Not Applicable"/>
    <m/>
    <m/>
    <m/>
    <m/>
    <x v="1"/>
    <n v="0"/>
  </r>
  <r>
    <s v="CAND0186"/>
    <s v="Priya Singh"/>
    <x v="62"/>
    <x v="3"/>
    <x v="1"/>
    <x v="3"/>
    <x v="5"/>
    <x v="1"/>
    <s v="Passed"/>
    <s v="Round 1"/>
    <d v="2026-06-08T00:00:00"/>
    <s v="Completed"/>
    <s v="Selected"/>
    <d v="2026-06-14T00:00:00"/>
    <s v="Joined"/>
    <d v="2026-07-08T00:00:00"/>
    <n v="5"/>
    <n v="6"/>
    <n v="24"/>
    <x v="0"/>
    <n v="1"/>
  </r>
  <r>
    <s v="CAND0187"/>
    <s v="Ishaan Rao"/>
    <x v="126"/>
    <x v="1"/>
    <x v="1"/>
    <x v="4"/>
    <x v="0"/>
    <x v="0"/>
    <s v="Rejected"/>
    <s v="Not Applicable"/>
    <m/>
    <s v="Not Applicable"/>
    <s v="Rejected"/>
    <m/>
    <s v="Not Applicable"/>
    <m/>
    <m/>
    <m/>
    <m/>
    <x v="1"/>
    <n v="0"/>
  </r>
  <r>
    <s v="CAND0188"/>
    <s v="Aditya Mishra"/>
    <x v="57"/>
    <x v="3"/>
    <x v="1"/>
    <x v="4"/>
    <x v="1"/>
    <x v="4"/>
    <s v="Rejected"/>
    <s v="Not Applicable"/>
    <m/>
    <s v="Not Applicable"/>
    <s v="Rejected"/>
    <m/>
    <s v="Not Applicable"/>
    <m/>
    <m/>
    <m/>
    <m/>
    <x v="1"/>
    <n v="0"/>
  </r>
  <r>
    <s v="CAND0189"/>
    <s v="Ishaan Kapoor"/>
    <x v="122"/>
    <x v="4"/>
    <x v="2"/>
    <x v="1"/>
    <x v="5"/>
    <x v="4"/>
    <s v="Rejected"/>
    <s v="Not Applicable"/>
    <m/>
    <s v="Not Applicable"/>
    <s v="Rejected"/>
    <m/>
    <s v="Not Applicable"/>
    <m/>
    <m/>
    <m/>
    <m/>
    <x v="1"/>
    <n v="0"/>
  </r>
  <r>
    <s v="CAND0190"/>
    <s v="Karan Kapoor"/>
    <x v="128"/>
    <x v="0"/>
    <x v="0"/>
    <x v="2"/>
    <x v="1"/>
    <x v="0"/>
    <s v="Passed"/>
    <s v="Round 1"/>
    <d v="2026-07-13T00:00:00"/>
    <s v="Completed"/>
    <s v="Rejected"/>
    <m/>
    <s v="Not Applicable"/>
    <m/>
    <n v="6"/>
    <m/>
    <m/>
    <x v="1"/>
    <n v="0"/>
  </r>
  <r>
    <s v="CAND0191"/>
    <s v="Aanya Rao"/>
    <x v="129"/>
    <x v="3"/>
    <x v="1"/>
    <x v="1"/>
    <x v="0"/>
    <x v="2"/>
    <s v="Rejected"/>
    <s v="Not Applicable"/>
    <m/>
    <s v="Not Applicable"/>
    <s v="Rejected"/>
    <m/>
    <s v="Not Applicable"/>
    <m/>
    <m/>
    <m/>
    <m/>
    <x v="1"/>
    <n v="0"/>
  </r>
  <r>
    <s v="CAND0192"/>
    <s v="Aanya Verma"/>
    <x v="130"/>
    <x v="4"/>
    <x v="2"/>
    <x v="3"/>
    <x v="2"/>
    <x v="1"/>
    <s v="Passed"/>
    <s v="Round 1"/>
    <d v="2026-06-19T00:00:00"/>
    <s v="Completed"/>
    <s v="Rejected"/>
    <m/>
    <s v="Not Applicable"/>
    <m/>
    <n v="10"/>
    <m/>
    <m/>
    <x v="1"/>
    <n v="0"/>
  </r>
  <r>
    <s v="CAND0193"/>
    <s v="Meera Mehta"/>
    <x v="108"/>
    <x v="4"/>
    <x v="2"/>
    <x v="1"/>
    <x v="4"/>
    <x v="1"/>
    <s v="Passed"/>
    <s v="Not Applicable"/>
    <m/>
    <s v="Not Scheduled"/>
    <s v="In Process"/>
    <m/>
    <s v="Not Applicable"/>
    <m/>
    <m/>
    <m/>
    <m/>
    <x v="2"/>
    <n v="0"/>
  </r>
  <r>
    <s v="CAND0194"/>
    <s v="Diya Mishra"/>
    <x v="131"/>
    <x v="5"/>
    <x v="1"/>
    <x v="0"/>
    <x v="5"/>
    <x v="1"/>
    <s v="Passed"/>
    <s v="Round 1"/>
    <d v="2026-08-13T00:00:00"/>
    <s v="Completed"/>
    <s v="Rejected"/>
    <m/>
    <s v="Not Applicable"/>
    <m/>
    <n v="17"/>
    <m/>
    <m/>
    <x v="1"/>
    <n v="0"/>
  </r>
  <r>
    <s v="CAND0195"/>
    <s v="Aanya Patel"/>
    <x v="132"/>
    <x v="2"/>
    <x v="2"/>
    <x v="5"/>
    <x v="3"/>
    <x v="1"/>
    <s v="Passed"/>
    <s v="Round 1"/>
    <d v="2026-04-29T00:00:00"/>
    <s v="Completed"/>
    <s v="Selected"/>
    <d v="2026-05-05T00:00:00"/>
    <s v="Joined"/>
    <d v="2026-05-30T00:00:00"/>
    <n v="4"/>
    <n v="6"/>
    <n v="25"/>
    <x v="0"/>
    <n v="1"/>
  </r>
  <r>
    <s v="CAND0196"/>
    <s v="Aarav Rao"/>
    <x v="133"/>
    <x v="2"/>
    <x v="2"/>
    <x v="4"/>
    <x v="0"/>
    <x v="0"/>
    <s v="Passed"/>
    <s v="Round 1"/>
    <d v="2026-08-26T00:00:00"/>
    <s v="Completed"/>
    <s v="Rejected"/>
    <m/>
    <s v="Not Applicable"/>
    <m/>
    <n v="12"/>
    <m/>
    <m/>
    <x v="1"/>
    <n v="0"/>
  </r>
  <r>
    <s v="CAND0197"/>
    <s v="Meera Patel"/>
    <x v="32"/>
    <x v="3"/>
    <x v="1"/>
    <x v="5"/>
    <x v="3"/>
    <x v="3"/>
    <s v="Rejected"/>
    <s v="Not Applicable"/>
    <m/>
    <s v="Not Applicable"/>
    <s v="Rejected"/>
    <m/>
    <s v="Not Applicable"/>
    <m/>
    <m/>
    <m/>
    <m/>
    <x v="1"/>
    <n v="0"/>
  </r>
  <r>
    <s v="CAND0198"/>
    <s v="Rohan Singh"/>
    <x v="28"/>
    <x v="5"/>
    <x v="1"/>
    <x v="2"/>
    <x v="1"/>
    <x v="2"/>
    <s v="Passed"/>
    <s v="Round 1"/>
    <d v="2026-04-28T00:00:00"/>
    <s v="Completed"/>
    <s v="Rejected"/>
    <m/>
    <s v="Not Applicable"/>
    <m/>
    <n v="17"/>
    <m/>
    <m/>
    <x v="1"/>
    <n v="0"/>
  </r>
  <r>
    <s v="CAND0199"/>
    <s v="Rahul Mehta"/>
    <x v="83"/>
    <x v="3"/>
    <x v="1"/>
    <x v="2"/>
    <x v="0"/>
    <x v="2"/>
    <s v="Passed"/>
    <s v="Round 1"/>
    <d v="2026-01-12T00:00:00"/>
    <s v="Completed"/>
    <s v="Rejected"/>
    <m/>
    <s v="Not Applicable"/>
    <m/>
    <n v="5"/>
    <m/>
    <m/>
    <x v="1"/>
    <n v="0"/>
  </r>
  <r>
    <s v="CAND0200"/>
    <s v="Rohan Mehta"/>
    <x v="134"/>
    <x v="1"/>
    <x v="1"/>
    <x v="1"/>
    <x v="3"/>
    <x v="0"/>
    <s v="Passed"/>
    <s v="Not Applicable"/>
    <m/>
    <s v="Not Scheduled"/>
    <s v="In Process"/>
    <m/>
    <s v="Not Applicable"/>
    <m/>
    <m/>
    <m/>
    <m/>
    <x v="2"/>
    <n v="0"/>
  </r>
  <r>
    <s v="CAND0201"/>
    <s v="Diya Chauhan"/>
    <x v="74"/>
    <x v="3"/>
    <x v="1"/>
    <x v="4"/>
    <x v="0"/>
    <x v="4"/>
    <s v="Passed"/>
    <s v="Round 1"/>
    <d v="2026-06-05T00:00:00"/>
    <s v="Completed"/>
    <s v="Rejected"/>
    <m/>
    <s v="Not Applicable"/>
    <m/>
    <n v="15"/>
    <m/>
    <m/>
    <x v="1"/>
    <n v="0"/>
  </r>
  <r>
    <s v="CAND0202"/>
    <s v="Kabir Singh"/>
    <x v="135"/>
    <x v="5"/>
    <x v="1"/>
    <x v="3"/>
    <x v="0"/>
    <x v="0"/>
    <s v="Passed"/>
    <s v="Round 1"/>
    <d v="2026-01-26T00:00:00"/>
    <s v="Completed"/>
    <s v="Rejected"/>
    <m/>
    <s v="Not Applicable"/>
    <m/>
    <n v="6"/>
    <m/>
    <m/>
    <x v="1"/>
    <n v="0"/>
  </r>
  <r>
    <s v="CAND0203"/>
    <s v="Arjun Gupta"/>
    <x v="92"/>
    <x v="2"/>
    <x v="2"/>
    <x v="3"/>
    <x v="1"/>
    <x v="4"/>
    <s v="Passed"/>
    <s v="Round 1"/>
    <d v="2026-10-03T00:00:00"/>
    <s v="Completed"/>
    <s v="Selected"/>
    <d v="2026-10-08T00:00:00"/>
    <s v="Joined"/>
    <d v="2026-10-18T00:00:00"/>
    <n v="10"/>
    <n v="5"/>
    <n v="10"/>
    <x v="0"/>
    <n v="1"/>
  </r>
  <r>
    <s v="CAND0204"/>
    <s v="Rohan Mishra"/>
    <x v="0"/>
    <x v="3"/>
    <x v="1"/>
    <x v="4"/>
    <x v="0"/>
    <x v="0"/>
    <s v="Rejected"/>
    <s v="Not Applicable"/>
    <m/>
    <s v="Not Applicable"/>
    <s v="Rejected"/>
    <m/>
    <s v="Not Applicable"/>
    <m/>
    <m/>
    <m/>
    <m/>
    <x v="1"/>
    <n v="0"/>
  </r>
  <r>
    <s v="CAND0205"/>
    <s v="Kabir Sinha"/>
    <x v="118"/>
    <x v="2"/>
    <x v="2"/>
    <x v="1"/>
    <x v="2"/>
    <x v="0"/>
    <s v="Passed"/>
    <s v="Round 1"/>
    <d v="2026-07-07T00:00:00"/>
    <s v="Completed"/>
    <s v="Rejected"/>
    <m/>
    <s v="Not Applicable"/>
    <m/>
    <n v="10"/>
    <m/>
    <m/>
    <x v="1"/>
    <n v="0"/>
  </r>
  <r>
    <s v="CAND0206"/>
    <s v="Ishaan Khan"/>
    <x v="109"/>
    <x v="1"/>
    <x v="1"/>
    <x v="4"/>
    <x v="0"/>
    <x v="0"/>
    <s v="Passed"/>
    <s v="Round 1"/>
    <d v="2026-04-09T00:00:00"/>
    <s v="Completed"/>
    <s v="Rejected"/>
    <m/>
    <s v="Not Applicable"/>
    <m/>
    <n v="13"/>
    <m/>
    <m/>
    <x v="1"/>
    <n v="0"/>
  </r>
  <r>
    <s v="CAND0207"/>
    <s v="Diya Gupta"/>
    <x v="51"/>
    <x v="3"/>
    <x v="1"/>
    <x v="3"/>
    <x v="2"/>
    <x v="0"/>
    <s v="Rejected"/>
    <s v="Not Applicable"/>
    <m/>
    <s v="Not Applicable"/>
    <s v="Rejected"/>
    <m/>
    <s v="Not Applicable"/>
    <m/>
    <m/>
    <m/>
    <m/>
    <x v="1"/>
    <n v="0"/>
  </r>
  <r>
    <s v="CAND0208"/>
    <s v="Kavya Kapoor"/>
    <x v="128"/>
    <x v="4"/>
    <x v="2"/>
    <x v="4"/>
    <x v="1"/>
    <x v="0"/>
    <s v="Passed"/>
    <s v="Round 1"/>
    <d v="2026-07-22T00:00:00"/>
    <s v="Completed"/>
    <s v="Rejected"/>
    <m/>
    <s v="Not Applicable"/>
    <m/>
    <n v="15"/>
    <m/>
    <m/>
    <x v="1"/>
    <n v="0"/>
  </r>
  <r>
    <s v="CAND0209"/>
    <s v="Priya Mehta"/>
    <x v="20"/>
    <x v="3"/>
    <x v="1"/>
    <x v="1"/>
    <x v="5"/>
    <x v="0"/>
    <s v="Rejected"/>
    <s v="Not Applicable"/>
    <m/>
    <s v="Not Applicable"/>
    <s v="Rejected"/>
    <m/>
    <s v="Not Applicable"/>
    <m/>
    <m/>
    <m/>
    <m/>
    <x v="1"/>
    <n v="0"/>
  </r>
  <r>
    <s v="CAND0210"/>
    <s v="Reyansh Khan"/>
    <x v="1"/>
    <x v="0"/>
    <x v="0"/>
    <x v="3"/>
    <x v="5"/>
    <x v="1"/>
    <s v="Passed"/>
    <s v="Round 1"/>
    <d v="2026-07-26T00:00:00"/>
    <s v="Completed"/>
    <s v="Rejected"/>
    <m/>
    <s v="Not Applicable"/>
    <m/>
    <n v="15"/>
    <m/>
    <m/>
    <x v="1"/>
    <n v="0"/>
  </r>
  <r>
    <s v="CAND0211"/>
    <s v="Diya Singh"/>
    <x v="136"/>
    <x v="5"/>
    <x v="1"/>
    <x v="1"/>
    <x v="5"/>
    <x v="4"/>
    <s v="Rejected"/>
    <s v="Not Applicable"/>
    <m/>
    <s v="Not Applicable"/>
    <s v="Rejected"/>
    <m/>
    <s v="Not Applicable"/>
    <m/>
    <m/>
    <m/>
    <m/>
    <x v="1"/>
    <n v="0"/>
  </r>
  <r>
    <s v="CAND0212"/>
    <s v="Aarav Sinha"/>
    <x v="40"/>
    <x v="0"/>
    <x v="0"/>
    <x v="3"/>
    <x v="1"/>
    <x v="0"/>
    <s v="Passed"/>
    <s v="Not Applicable"/>
    <m/>
    <s v="Not Scheduled"/>
    <s v="In Process"/>
    <m/>
    <s v="Not Applicable"/>
    <m/>
    <m/>
    <m/>
    <m/>
    <x v="2"/>
    <n v="0"/>
  </r>
  <r>
    <s v="CAND0213"/>
    <s v="Ishaan Singh"/>
    <x v="112"/>
    <x v="2"/>
    <x v="2"/>
    <x v="2"/>
    <x v="1"/>
    <x v="1"/>
    <s v="Passed"/>
    <s v="Not Applicable"/>
    <m/>
    <s v="Not Scheduled"/>
    <s v="In Process"/>
    <m/>
    <s v="Not Applicable"/>
    <m/>
    <m/>
    <m/>
    <m/>
    <x v="2"/>
    <n v="0"/>
  </r>
  <r>
    <s v="CAND0214"/>
    <s v="Reyansh Mehta"/>
    <x v="137"/>
    <x v="3"/>
    <x v="1"/>
    <x v="1"/>
    <x v="5"/>
    <x v="2"/>
    <s v="Passed"/>
    <s v="Round 1"/>
    <d v="2026-02-08T00:00:00"/>
    <s v="Completed"/>
    <s v="Rejected"/>
    <m/>
    <s v="Not Applicable"/>
    <m/>
    <n v="11"/>
    <m/>
    <m/>
    <x v="1"/>
    <n v="0"/>
  </r>
  <r>
    <s v="CAND0215"/>
    <s v="Arjun Malhotra"/>
    <x v="138"/>
    <x v="3"/>
    <x v="1"/>
    <x v="4"/>
    <x v="0"/>
    <x v="4"/>
    <s v="Passed"/>
    <s v="Round 1"/>
    <d v="2026-02-26T00:00:00"/>
    <s v="Completed"/>
    <s v="Rejected"/>
    <m/>
    <s v="Not Applicable"/>
    <m/>
    <n v="8"/>
    <m/>
    <m/>
    <x v="1"/>
    <n v="0"/>
  </r>
  <r>
    <s v="CAND0216"/>
    <s v="Kavya Patel"/>
    <x v="139"/>
    <x v="4"/>
    <x v="2"/>
    <x v="3"/>
    <x v="1"/>
    <x v="1"/>
    <s v="Passed"/>
    <s v="Round 1"/>
    <d v="2026-09-26T00:00:00"/>
    <s v="Completed"/>
    <s v="Selected"/>
    <d v="2026-09-30T00:00:00"/>
    <s v="Joined"/>
    <d v="2026-10-23T00:00:00"/>
    <n v="11"/>
    <n v="4"/>
    <n v="23"/>
    <x v="0"/>
    <n v="1"/>
  </r>
  <r>
    <s v="CAND0217"/>
    <s v="Ishaan Sharma"/>
    <x v="111"/>
    <x v="4"/>
    <x v="2"/>
    <x v="4"/>
    <x v="1"/>
    <x v="0"/>
    <s v="Passed"/>
    <s v="Not Applicable"/>
    <m/>
    <s v="Not Scheduled"/>
    <s v="In Process"/>
    <m/>
    <s v="Not Applicable"/>
    <m/>
    <m/>
    <m/>
    <m/>
    <x v="2"/>
    <n v="0"/>
  </r>
  <r>
    <s v="CAND0218"/>
    <s v="Isha Kapoor"/>
    <x v="140"/>
    <x v="1"/>
    <x v="1"/>
    <x v="3"/>
    <x v="0"/>
    <x v="0"/>
    <s v="Rejected"/>
    <s v="Not Applicable"/>
    <m/>
    <s v="Not Applicable"/>
    <s v="Rejected"/>
    <m/>
    <s v="Not Applicable"/>
    <m/>
    <m/>
    <m/>
    <m/>
    <x v="1"/>
    <n v="0"/>
  </r>
  <r>
    <s v="CAND0219"/>
    <s v="Meera Gupta"/>
    <x v="141"/>
    <x v="0"/>
    <x v="0"/>
    <x v="4"/>
    <x v="1"/>
    <x v="3"/>
    <s v="Passed"/>
    <s v="Round 1"/>
    <d v="2026-08-31T00:00:00"/>
    <s v="Completed"/>
    <s v="Rejected"/>
    <m/>
    <s v="Not Applicable"/>
    <m/>
    <n v="5"/>
    <m/>
    <m/>
    <x v="1"/>
    <n v="0"/>
  </r>
  <r>
    <s v="CAND0220"/>
    <s v="Aarav Kapoor"/>
    <x v="142"/>
    <x v="2"/>
    <x v="2"/>
    <x v="0"/>
    <x v="1"/>
    <x v="0"/>
    <s v="Passed"/>
    <s v="Not Applicable"/>
    <m/>
    <s v="Not Scheduled"/>
    <s v="In Process"/>
    <m/>
    <s v="Not Applicable"/>
    <m/>
    <m/>
    <m/>
    <m/>
    <x v="2"/>
    <n v="0"/>
  </r>
  <r>
    <s v="CAND0221"/>
    <s v="Meera Kapoor"/>
    <x v="95"/>
    <x v="3"/>
    <x v="1"/>
    <x v="3"/>
    <x v="1"/>
    <x v="1"/>
    <s v="Passed"/>
    <s v="Not Applicable"/>
    <m/>
    <s v="Not Scheduled"/>
    <s v="In Process"/>
    <m/>
    <s v="Not Applicable"/>
    <m/>
    <m/>
    <m/>
    <m/>
    <x v="2"/>
    <n v="0"/>
  </r>
  <r>
    <s v="CAND0222"/>
    <s v="Ananya Mehta"/>
    <x v="143"/>
    <x v="2"/>
    <x v="2"/>
    <x v="3"/>
    <x v="0"/>
    <x v="4"/>
    <s v="Passed"/>
    <s v="Round 1"/>
    <d v="2026-07-10T00:00:00"/>
    <s v="Completed"/>
    <s v="Rejected"/>
    <m/>
    <s v="Not Applicable"/>
    <m/>
    <n v="5"/>
    <m/>
    <m/>
    <x v="1"/>
    <n v="0"/>
  </r>
  <r>
    <s v="CAND0223"/>
    <s v="Sana Gupta"/>
    <x v="72"/>
    <x v="0"/>
    <x v="0"/>
    <x v="1"/>
    <x v="2"/>
    <x v="2"/>
    <s v="Passed"/>
    <s v="Not Applicable"/>
    <m/>
    <s v="Not Scheduled"/>
    <s v="In Process"/>
    <m/>
    <s v="Not Applicable"/>
    <m/>
    <m/>
    <m/>
    <m/>
    <x v="2"/>
    <n v="0"/>
  </r>
  <r>
    <s v="CAND0224"/>
    <s v="Sana Rao"/>
    <x v="109"/>
    <x v="0"/>
    <x v="0"/>
    <x v="0"/>
    <x v="2"/>
    <x v="4"/>
    <s v="Rejected"/>
    <s v="Not Applicable"/>
    <m/>
    <s v="Not Applicable"/>
    <s v="Rejected"/>
    <m/>
    <s v="Not Applicable"/>
    <m/>
    <m/>
    <m/>
    <m/>
    <x v="1"/>
    <n v="0"/>
  </r>
  <r>
    <s v="CAND0225"/>
    <s v="Aditya Agarwal"/>
    <x v="66"/>
    <x v="0"/>
    <x v="0"/>
    <x v="1"/>
    <x v="1"/>
    <x v="2"/>
    <s v="Passed"/>
    <s v="Round 1"/>
    <d v="2026-09-11T00:00:00"/>
    <s v="Completed"/>
    <s v="Rejected"/>
    <m/>
    <s v="Not Applicable"/>
    <m/>
    <n v="11"/>
    <m/>
    <m/>
    <x v="1"/>
    <n v="0"/>
  </r>
  <r>
    <s v="CAND0226"/>
    <s v="Arjun Sinha"/>
    <x v="144"/>
    <x v="5"/>
    <x v="1"/>
    <x v="4"/>
    <x v="4"/>
    <x v="1"/>
    <s v="Passed"/>
    <s v="Round 1"/>
    <d v="2026-08-28T00:00:00"/>
    <s v="Completed"/>
    <s v="Rejected"/>
    <m/>
    <s v="Not Applicable"/>
    <m/>
    <n v="10"/>
    <m/>
    <m/>
    <x v="1"/>
    <n v="0"/>
  </r>
  <r>
    <s v="CAND0227"/>
    <s v="Vivaan Joshi"/>
    <x v="145"/>
    <x v="0"/>
    <x v="0"/>
    <x v="4"/>
    <x v="0"/>
    <x v="1"/>
    <s v="Rejected"/>
    <s v="Not Applicable"/>
    <m/>
    <s v="Not Applicable"/>
    <s v="Rejected"/>
    <m/>
    <s v="Not Applicable"/>
    <m/>
    <m/>
    <m/>
    <m/>
    <x v="1"/>
    <n v="0"/>
  </r>
  <r>
    <s v="CAND0228"/>
    <s v="Arjun Singh"/>
    <x v="110"/>
    <x v="4"/>
    <x v="2"/>
    <x v="2"/>
    <x v="0"/>
    <x v="3"/>
    <s v="Passed"/>
    <s v="Round 1"/>
    <d v="2026-04-01T00:00:00"/>
    <s v="Completed"/>
    <s v="Rejected"/>
    <m/>
    <s v="Not Applicable"/>
    <m/>
    <n v="9"/>
    <m/>
    <m/>
    <x v="1"/>
    <n v="0"/>
  </r>
  <r>
    <s v="CAND0229"/>
    <s v="Diya Sharma"/>
    <x v="87"/>
    <x v="2"/>
    <x v="2"/>
    <x v="2"/>
    <x v="5"/>
    <x v="2"/>
    <s v="Passed"/>
    <s v="Round 1"/>
    <d v="2026-07-06T00:00:00"/>
    <s v="Completed"/>
    <s v="Rejected"/>
    <m/>
    <s v="Not Applicable"/>
    <m/>
    <n v="14"/>
    <m/>
    <m/>
    <x v="1"/>
    <n v="0"/>
  </r>
  <r>
    <s v="CAND0230"/>
    <s v="Sana Sinha"/>
    <x v="14"/>
    <x v="4"/>
    <x v="2"/>
    <x v="4"/>
    <x v="4"/>
    <x v="1"/>
    <s v="Passed"/>
    <s v="Round 1"/>
    <d v="2026-07-29T00:00:00"/>
    <s v="Completed"/>
    <s v="Rejected"/>
    <m/>
    <s v="Not Applicable"/>
    <m/>
    <n v="12"/>
    <m/>
    <m/>
    <x v="1"/>
    <n v="0"/>
  </r>
  <r>
    <s v="CAND0231"/>
    <s v="Diya Singh"/>
    <x v="57"/>
    <x v="3"/>
    <x v="1"/>
    <x v="4"/>
    <x v="0"/>
    <x v="0"/>
    <s v="Rejected"/>
    <s v="Not Applicable"/>
    <m/>
    <s v="Not Applicable"/>
    <s v="Rejected"/>
    <m/>
    <s v="Not Applicable"/>
    <m/>
    <m/>
    <m/>
    <m/>
    <x v="1"/>
    <n v="0"/>
  </r>
  <r>
    <s v="CAND0232"/>
    <s v="Kabir Gupta"/>
    <x v="121"/>
    <x v="2"/>
    <x v="2"/>
    <x v="4"/>
    <x v="2"/>
    <x v="0"/>
    <s v="Rejected"/>
    <s v="Not Applicable"/>
    <m/>
    <s v="Not Applicable"/>
    <s v="Rejected"/>
    <m/>
    <s v="Not Applicable"/>
    <m/>
    <m/>
    <m/>
    <m/>
    <x v="1"/>
    <n v="0"/>
  </r>
  <r>
    <s v="CAND0233"/>
    <s v="Kavya Singh"/>
    <x v="138"/>
    <x v="5"/>
    <x v="1"/>
    <x v="3"/>
    <x v="3"/>
    <x v="2"/>
    <s v="Passed"/>
    <s v="Not Applicable"/>
    <m/>
    <s v="Not Scheduled"/>
    <s v="In Process"/>
    <m/>
    <s v="Not Applicable"/>
    <m/>
    <m/>
    <m/>
    <m/>
    <x v="2"/>
    <n v="0"/>
  </r>
  <r>
    <s v="CAND0234"/>
    <s v="Arjun Khan"/>
    <x v="119"/>
    <x v="0"/>
    <x v="0"/>
    <x v="4"/>
    <x v="0"/>
    <x v="1"/>
    <s v="Passed"/>
    <s v="Round 1"/>
    <d v="2026-05-21T00:00:00"/>
    <s v="Completed"/>
    <s v="Rejected"/>
    <m/>
    <s v="Not Applicable"/>
    <m/>
    <n v="12"/>
    <m/>
    <m/>
    <x v="1"/>
    <n v="0"/>
  </r>
  <r>
    <s v="CAND0235"/>
    <s v="Rahul Patel"/>
    <x v="146"/>
    <x v="3"/>
    <x v="1"/>
    <x v="4"/>
    <x v="0"/>
    <x v="1"/>
    <s v="Rejected"/>
    <s v="Not Applicable"/>
    <m/>
    <s v="Not Applicable"/>
    <s v="Rejected"/>
    <m/>
    <s v="Not Applicable"/>
    <m/>
    <m/>
    <m/>
    <m/>
    <x v="1"/>
    <n v="0"/>
  </r>
  <r>
    <s v="CAND0236"/>
    <s v="Arjun Verma"/>
    <x v="146"/>
    <x v="0"/>
    <x v="0"/>
    <x v="4"/>
    <x v="0"/>
    <x v="1"/>
    <s v="Passed"/>
    <s v="Round 1"/>
    <d v="2026-04-28T00:00:00"/>
    <s v="Completed"/>
    <s v="Rejected"/>
    <m/>
    <s v="Not Applicable"/>
    <m/>
    <n v="12"/>
    <m/>
    <m/>
    <x v="1"/>
    <n v="0"/>
  </r>
  <r>
    <s v="CAND0237"/>
    <s v="Meera Mishra"/>
    <x v="83"/>
    <x v="2"/>
    <x v="2"/>
    <x v="3"/>
    <x v="0"/>
    <x v="3"/>
    <s v="Rejected"/>
    <s v="Not Applicable"/>
    <m/>
    <s v="Not Applicable"/>
    <s v="Rejected"/>
    <m/>
    <s v="Not Applicable"/>
    <m/>
    <m/>
    <m/>
    <m/>
    <x v="1"/>
    <n v="0"/>
  </r>
  <r>
    <s v="CAND0238"/>
    <s v="Kabir Singh"/>
    <x v="62"/>
    <x v="5"/>
    <x v="1"/>
    <x v="3"/>
    <x v="0"/>
    <x v="2"/>
    <s v="Rejected"/>
    <s v="Not Applicable"/>
    <m/>
    <s v="Not Applicable"/>
    <s v="Rejected"/>
    <m/>
    <s v="Not Applicable"/>
    <m/>
    <m/>
    <m/>
    <m/>
    <x v="1"/>
    <n v="0"/>
  </r>
  <r>
    <s v="CAND0239"/>
    <s v="Aanya Mehta"/>
    <x v="80"/>
    <x v="2"/>
    <x v="2"/>
    <x v="1"/>
    <x v="1"/>
    <x v="4"/>
    <s v="Rejected"/>
    <s v="Not Applicable"/>
    <m/>
    <s v="Not Applicable"/>
    <s v="Rejected"/>
    <m/>
    <s v="Not Applicable"/>
    <m/>
    <m/>
    <m/>
    <m/>
    <x v="1"/>
    <n v="0"/>
  </r>
  <r>
    <s v="CAND0240"/>
    <s v="Ananya Mehta"/>
    <x v="21"/>
    <x v="2"/>
    <x v="2"/>
    <x v="4"/>
    <x v="0"/>
    <x v="4"/>
    <s v="Passed"/>
    <s v="Round 1"/>
    <d v="2026-06-23T00:00:00"/>
    <s v="Completed"/>
    <s v="Rejected"/>
    <m/>
    <s v="Not Applicable"/>
    <m/>
    <n v="13"/>
    <m/>
    <m/>
    <x v="1"/>
    <n v="0"/>
  </r>
  <r>
    <s v="CAND0241"/>
    <s v="Vivaan Agarwal"/>
    <x v="109"/>
    <x v="4"/>
    <x v="2"/>
    <x v="4"/>
    <x v="1"/>
    <x v="2"/>
    <s v="Passed"/>
    <s v="Round 1"/>
    <d v="2026-04-08T00:00:00"/>
    <s v="Completed"/>
    <s v="Rejected"/>
    <m/>
    <s v="Not Applicable"/>
    <m/>
    <n v="12"/>
    <m/>
    <m/>
    <x v="1"/>
    <n v="0"/>
  </r>
  <r>
    <s v="CAND0242"/>
    <s v="Aditya Singh"/>
    <x v="52"/>
    <x v="1"/>
    <x v="1"/>
    <x v="3"/>
    <x v="1"/>
    <x v="1"/>
    <s v="Passed"/>
    <s v="Round 1"/>
    <d v="2026-04-21T00:00:00"/>
    <s v="Completed"/>
    <s v="Rejected"/>
    <m/>
    <s v="Not Applicable"/>
    <m/>
    <n v="13"/>
    <m/>
    <m/>
    <x v="1"/>
    <n v="0"/>
  </r>
  <r>
    <s v="CAND0243"/>
    <s v="Meera Kapoor"/>
    <x v="138"/>
    <x v="2"/>
    <x v="2"/>
    <x v="4"/>
    <x v="0"/>
    <x v="1"/>
    <s v="Rejected"/>
    <s v="Not Applicable"/>
    <m/>
    <s v="Not Applicable"/>
    <s v="Rejected"/>
    <m/>
    <s v="Not Applicable"/>
    <m/>
    <m/>
    <m/>
    <m/>
    <x v="1"/>
    <n v="0"/>
  </r>
  <r>
    <s v="CAND0244"/>
    <s v="Reyansh Agarwal"/>
    <x v="147"/>
    <x v="1"/>
    <x v="1"/>
    <x v="5"/>
    <x v="2"/>
    <x v="3"/>
    <s v="Rejected"/>
    <s v="Not Applicable"/>
    <m/>
    <s v="Not Applicable"/>
    <s v="Rejected"/>
    <m/>
    <s v="Not Applicable"/>
    <m/>
    <m/>
    <m/>
    <m/>
    <x v="1"/>
    <n v="0"/>
  </r>
  <r>
    <s v="CAND0245"/>
    <s v="Aarav Agarwal"/>
    <x v="67"/>
    <x v="4"/>
    <x v="2"/>
    <x v="4"/>
    <x v="1"/>
    <x v="3"/>
    <s v="Rejected"/>
    <s v="Not Applicable"/>
    <m/>
    <s v="Not Applicable"/>
    <s v="Rejected"/>
    <m/>
    <s v="Not Applicable"/>
    <m/>
    <m/>
    <m/>
    <m/>
    <x v="1"/>
    <n v="0"/>
  </r>
  <r>
    <s v="CAND0246"/>
    <s v="Arjun Khan"/>
    <x v="20"/>
    <x v="2"/>
    <x v="2"/>
    <x v="0"/>
    <x v="1"/>
    <x v="2"/>
    <s v="Passed"/>
    <s v="Round 1"/>
    <d v="2026-08-30T00:00:00"/>
    <s v="Completed"/>
    <s v="Selected"/>
    <d v="2026-09-04T00:00:00"/>
    <s v="Joined"/>
    <d v="2026-09-22T00:00:00"/>
    <n v="15"/>
    <n v="5"/>
    <n v="18"/>
    <x v="0"/>
    <n v="1"/>
  </r>
  <r>
    <s v="CAND0247"/>
    <s v="Aanya Verma"/>
    <x v="122"/>
    <x v="3"/>
    <x v="1"/>
    <x v="4"/>
    <x v="1"/>
    <x v="2"/>
    <s v="Passed"/>
    <s v="Not Applicable"/>
    <m/>
    <s v="Not Scheduled"/>
    <s v="In Process"/>
    <m/>
    <s v="Not Applicable"/>
    <m/>
    <m/>
    <m/>
    <m/>
    <x v="2"/>
    <n v="0"/>
  </r>
  <r>
    <s v="CAND0248"/>
    <s v="Aarav Malhotra"/>
    <x v="148"/>
    <x v="4"/>
    <x v="2"/>
    <x v="5"/>
    <x v="5"/>
    <x v="3"/>
    <s v="Rejected"/>
    <s v="Not Applicable"/>
    <m/>
    <s v="Not Applicable"/>
    <s v="Rejected"/>
    <m/>
    <s v="Not Applicable"/>
    <m/>
    <m/>
    <m/>
    <m/>
    <x v="1"/>
    <n v="0"/>
  </r>
  <r>
    <s v="CAND0249"/>
    <s v="Isha Patel"/>
    <x v="119"/>
    <x v="2"/>
    <x v="2"/>
    <x v="3"/>
    <x v="5"/>
    <x v="3"/>
    <s v="Passed"/>
    <s v="Not Applicable"/>
    <m/>
    <s v="Not Scheduled"/>
    <s v="In Process"/>
    <m/>
    <s v="Not Applicable"/>
    <m/>
    <m/>
    <m/>
    <m/>
    <x v="2"/>
    <n v="0"/>
  </r>
  <r>
    <s v="CAND0250"/>
    <s v="Diya Verma"/>
    <x v="149"/>
    <x v="2"/>
    <x v="2"/>
    <x v="2"/>
    <x v="4"/>
    <x v="4"/>
    <s v="Passed"/>
    <s v="Not Applicable"/>
    <m/>
    <s v="Not Scheduled"/>
    <s v="In Process"/>
    <m/>
    <s v="Not Applicable"/>
    <m/>
    <m/>
    <m/>
    <m/>
    <x v="2"/>
    <n v="0"/>
  </r>
  <r>
    <s v="CAND0251"/>
    <s v="Aditya Sharma"/>
    <x v="93"/>
    <x v="1"/>
    <x v="1"/>
    <x v="3"/>
    <x v="3"/>
    <x v="3"/>
    <s v="Rejected"/>
    <s v="Not Applicable"/>
    <m/>
    <s v="Not Applicable"/>
    <s v="Rejected"/>
    <m/>
    <s v="Not Applicable"/>
    <m/>
    <m/>
    <m/>
    <m/>
    <x v="1"/>
    <n v="0"/>
  </r>
  <r>
    <s v="CAND0252"/>
    <s v="Karan Gupta"/>
    <x v="150"/>
    <x v="0"/>
    <x v="0"/>
    <x v="4"/>
    <x v="2"/>
    <x v="0"/>
    <s v="Rejected"/>
    <s v="Not Applicable"/>
    <m/>
    <s v="Not Applicable"/>
    <s v="Rejected"/>
    <m/>
    <s v="Not Applicable"/>
    <m/>
    <m/>
    <m/>
    <m/>
    <x v="1"/>
    <n v="0"/>
  </r>
  <r>
    <s v="CAND0253"/>
    <s v="Aanya Malhotra"/>
    <x v="47"/>
    <x v="0"/>
    <x v="0"/>
    <x v="1"/>
    <x v="5"/>
    <x v="1"/>
    <s v="Passed"/>
    <s v="Round 1"/>
    <d v="2026-05-20T00:00:00"/>
    <s v="Completed"/>
    <s v="Rejected"/>
    <m/>
    <s v="Not Applicable"/>
    <m/>
    <n v="6"/>
    <m/>
    <m/>
    <x v="1"/>
    <n v="0"/>
  </r>
  <r>
    <s v="CAND0254"/>
    <s v="Nisha Chauhan"/>
    <x v="48"/>
    <x v="0"/>
    <x v="0"/>
    <x v="4"/>
    <x v="0"/>
    <x v="1"/>
    <s v="Rejected"/>
    <s v="Not Applicable"/>
    <m/>
    <s v="Not Applicable"/>
    <s v="Rejected"/>
    <m/>
    <s v="Not Applicable"/>
    <m/>
    <m/>
    <m/>
    <m/>
    <x v="1"/>
    <n v="0"/>
  </r>
  <r>
    <s v="CAND0255"/>
    <s v="Meera Rao"/>
    <x v="55"/>
    <x v="4"/>
    <x v="2"/>
    <x v="2"/>
    <x v="1"/>
    <x v="0"/>
    <s v="Rejected"/>
    <s v="Not Applicable"/>
    <m/>
    <s v="Not Applicable"/>
    <s v="Rejected"/>
    <m/>
    <s v="Not Applicable"/>
    <m/>
    <m/>
    <m/>
    <m/>
    <x v="1"/>
    <n v="0"/>
  </r>
  <r>
    <s v="CAND0256"/>
    <s v="Rohan Mehta"/>
    <x v="49"/>
    <x v="0"/>
    <x v="0"/>
    <x v="2"/>
    <x v="0"/>
    <x v="1"/>
    <s v="Rejected"/>
    <s v="Not Applicable"/>
    <m/>
    <s v="Not Applicable"/>
    <s v="Rejected"/>
    <m/>
    <s v="Not Applicable"/>
    <m/>
    <m/>
    <m/>
    <m/>
    <x v="1"/>
    <n v="0"/>
  </r>
  <r>
    <s v="CAND0257"/>
    <s v="Meera Patel"/>
    <x v="151"/>
    <x v="3"/>
    <x v="1"/>
    <x v="4"/>
    <x v="2"/>
    <x v="3"/>
    <s v="Rejected"/>
    <s v="Not Applicable"/>
    <m/>
    <s v="Not Applicable"/>
    <s v="Rejected"/>
    <m/>
    <s v="Not Applicable"/>
    <m/>
    <m/>
    <m/>
    <m/>
    <x v="1"/>
    <n v="0"/>
  </r>
  <r>
    <s v="CAND0258"/>
    <s v="Aanya Sharma"/>
    <x v="12"/>
    <x v="2"/>
    <x v="2"/>
    <x v="2"/>
    <x v="0"/>
    <x v="1"/>
    <s v="Rejected"/>
    <s v="Not Applicable"/>
    <m/>
    <s v="Not Applicable"/>
    <s v="Rejected"/>
    <m/>
    <s v="Not Applicable"/>
    <m/>
    <m/>
    <m/>
    <m/>
    <x v="1"/>
    <n v="0"/>
  </r>
  <r>
    <s v="CAND0259"/>
    <s v="Vivaan Kapoor"/>
    <x v="41"/>
    <x v="0"/>
    <x v="0"/>
    <x v="5"/>
    <x v="0"/>
    <x v="3"/>
    <s v="Rejected"/>
    <s v="Not Applicable"/>
    <m/>
    <s v="Not Applicable"/>
    <s v="Rejected"/>
    <m/>
    <s v="Not Applicable"/>
    <m/>
    <m/>
    <m/>
    <m/>
    <x v="1"/>
    <n v="0"/>
  </r>
  <r>
    <s v="CAND0260"/>
    <s v="Sana Sharma"/>
    <x v="152"/>
    <x v="5"/>
    <x v="1"/>
    <x v="1"/>
    <x v="2"/>
    <x v="3"/>
    <s v="Passed"/>
    <s v="Not Applicable"/>
    <m/>
    <s v="Not Scheduled"/>
    <s v="In Process"/>
    <m/>
    <s v="Not Applicable"/>
    <m/>
    <m/>
    <m/>
    <m/>
    <x v="2"/>
    <n v="0"/>
  </r>
  <r>
    <s v="CAND0261"/>
    <s v="Aditya Agarwal"/>
    <x v="153"/>
    <x v="1"/>
    <x v="1"/>
    <x v="0"/>
    <x v="5"/>
    <x v="3"/>
    <s v="Rejected"/>
    <s v="Not Applicable"/>
    <m/>
    <s v="Not Applicable"/>
    <s v="Rejected"/>
    <m/>
    <s v="Not Applicable"/>
    <m/>
    <m/>
    <m/>
    <m/>
    <x v="1"/>
    <n v="0"/>
  </r>
  <r>
    <s v="CAND0262"/>
    <s v="Nisha Chauhan"/>
    <x v="86"/>
    <x v="0"/>
    <x v="0"/>
    <x v="3"/>
    <x v="3"/>
    <x v="4"/>
    <s v="Passed"/>
    <s v="Not Applicable"/>
    <m/>
    <s v="Not Scheduled"/>
    <s v="In Process"/>
    <m/>
    <s v="Not Applicable"/>
    <m/>
    <m/>
    <m/>
    <m/>
    <x v="2"/>
    <n v="0"/>
  </r>
  <r>
    <s v="CAND0263"/>
    <s v="Aditya Mehta"/>
    <x v="116"/>
    <x v="0"/>
    <x v="0"/>
    <x v="4"/>
    <x v="1"/>
    <x v="4"/>
    <s v="Passed"/>
    <s v="Round 1"/>
    <d v="2026-05-14T00:00:00"/>
    <s v="Completed"/>
    <s v="Rejected"/>
    <m/>
    <s v="Not Applicable"/>
    <m/>
    <n v="14"/>
    <m/>
    <m/>
    <x v="1"/>
    <n v="0"/>
  </r>
  <r>
    <s v="CAND0264"/>
    <s v="Isha Patel"/>
    <x v="154"/>
    <x v="4"/>
    <x v="2"/>
    <x v="5"/>
    <x v="0"/>
    <x v="2"/>
    <s v="Rejected"/>
    <s v="Not Applicable"/>
    <m/>
    <s v="Not Applicable"/>
    <s v="Rejected"/>
    <m/>
    <s v="Not Applicable"/>
    <m/>
    <m/>
    <m/>
    <m/>
    <x v="1"/>
    <n v="0"/>
  </r>
  <r>
    <s v="CAND0265"/>
    <s v="Sana Khan"/>
    <x v="116"/>
    <x v="2"/>
    <x v="2"/>
    <x v="4"/>
    <x v="0"/>
    <x v="4"/>
    <s v="Passed"/>
    <s v="Round 1"/>
    <d v="2026-05-08T00:00:00"/>
    <s v="Completed"/>
    <s v="Selected"/>
    <d v="2026-05-14T00:00:00"/>
    <s v="Joined"/>
    <d v="2026-06-08T00:00:00"/>
    <n v="8"/>
    <n v="6"/>
    <n v="25"/>
    <x v="0"/>
    <n v="1"/>
  </r>
  <r>
    <s v="CAND0266"/>
    <s v="Vivaan Kapoor"/>
    <x v="9"/>
    <x v="2"/>
    <x v="2"/>
    <x v="5"/>
    <x v="0"/>
    <x v="1"/>
    <s v="Rejected"/>
    <s v="Not Applicable"/>
    <m/>
    <s v="Not Applicable"/>
    <s v="Rejected"/>
    <m/>
    <s v="Not Applicable"/>
    <m/>
    <m/>
    <m/>
    <m/>
    <x v="1"/>
    <n v="0"/>
  </r>
  <r>
    <s v="CAND0267"/>
    <s v="Reyansh Khan"/>
    <x v="51"/>
    <x v="2"/>
    <x v="2"/>
    <x v="4"/>
    <x v="4"/>
    <x v="1"/>
    <s v="Passed"/>
    <s v="Round 1"/>
    <d v="2026-03-13T00:00:00"/>
    <s v="Completed"/>
    <s v="Rejected"/>
    <m/>
    <s v="Not Applicable"/>
    <m/>
    <n v="7"/>
    <m/>
    <m/>
    <x v="1"/>
    <n v="0"/>
  </r>
  <r>
    <s v="CAND0268"/>
    <s v="Aanya Verma"/>
    <x v="155"/>
    <x v="4"/>
    <x v="2"/>
    <x v="4"/>
    <x v="4"/>
    <x v="1"/>
    <s v="Passed"/>
    <s v="Round 1"/>
    <d v="2026-02-16T00:00:00"/>
    <s v="Completed"/>
    <s v="Rejected"/>
    <m/>
    <s v="Not Applicable"/>
    <m/>
    <n v="9"/>
    <m/>
    <m/>
    <x v="1"/>
    <n v="0"/>
  </r>
  <r>
    <s v="CAND0269"/>
    <s v="Reyansh Singh"/>
    <x v="103"/>
    <x v="5"/>
    <x v="1"/>
    <x v="4"/>
    <x v="3"/>
    <x v="4"/>
    <s v="Passed"/>
    <s v="Round 1"/>
    <d v="2026-06-25T00:00:00"/>
    <s v="Completed"/>
    <s v="Rejected"/>
    <m/>
    <s v="Not Applicable"/>
    <m/>
    <n v="14"/>
    <m/>
    <m/>
    <x v="1"/>
    <n v="0"/>
  </r>
  <r>
    <s v="CAND0270"/>
    <s v="Isha Sharma"/>
    <x v="156"/>
    <x v="5"/>
    <x v="1"/>
    <x v="1"/>
    <x v="1"/>
    <x v="0"/>
    <s v="Passed"/>
    <s v="Round 1"/>
    <d v="2026-04-07T00:00:00"/>
    <s v="Completed"/>
    <s v="Rejected"/>
    <m/>
    <s v="Not Applicable"/>
    <m/>
    <n v="4"/>
    <m/>
    <m/>
    <x v="1"/>
    <n v="0"/>
  </r>
  <r>
    <s v="CAND0271"/>
    <s v="Karan Mehta"/>
    <x v="2"/>
    <x v="0"/>
    <x v="0"/>
    <x v="4"/>
    <x v="2"/>
    <x v="0"/>
    <s v="Passed"/>
    <s v="Round 1"/>
    <d v="2026-07-18T00:00:00"/>
    <s v="Completed"/>
    <s v="Rejected"/>
    <m/>
    <s v="Not Applicable"/>
    <m/>
    <n v="9"/>
    <m/>
    <m/>
    <x v="1"/>
    <n v="0"/>
  </r>
  <r>
    <s v="CAND0272"/>
    <s v="Diya Rao"/>
    <x v="157"/>
    <x v="3"/>
    <x v="1"/>
    <x v="1"/>
    <x v="2"/>
    <x v="3"/>
    <s v="Passed"/>
    <s v="Not Applicable"/>
    <m/>
    <s v="Not Scheduled"/>
    <s v="In Process"/>
    <m/>
    <s v="Not Applicable"/>
    <m/>
    <m/>
    <m/>
    <m/>
    <x v="2"/>
    <n v="0"/>
  </r>
  <r>
    <s v="CAND0273"/>
    <s v="Reyansh Kapoor"/>
    <x v="23"/>
    <x v="5"/>
    <x v="1"/>
    <x v="4"/>
    <x v="3"/>
    <x v="1"/>
    <s v="Rejected"/>
    <s v="Not Applicable"/>
    <m/>
    <s v="Not Applicable"/>
    <s v="Rejected"/>
    <m/>
    <s v="Not Applicable"/>
    <m/>
    <m/>
    <m/>
    <m/>
    <x v="1"/>
    <n v="0"/>
  </r>
  <r>
    <s v="CAND0274"/>
    <s v="Reyansh Mehta"/>
    <x v="158"/>
    <x v="4"/>
    <x v="2"/>
    <x v="0"/>
    <x v="5"/>
    <x v="1"/>
    <s v="Rejected"/>
    <s v="Not Applicable"/>
    <m/>
    <s v="Not Applicable"/>
    <s v="Rejected"/>
    <m/>
    <s v="Not Applicable"/>
    <m/>
    <m/>
    <m/>
    <m/>
    <x v="1"/>
    <n v="0"/>
  </r>
  <r>
    <s v="CAND0275"/>
    <s v="Vivaan Gupta"/>
    <x v="26"/>
    <x v="2"/>
    <x v="2"/>
    <x v="4"/>
    <x v="0"/>
    <x v="1"/>
    <s v="Rejected"/>
    <s v="Not Applicable"/>
    <m/>
    <s v="Not Applicable"/>
    <s v="Rejected"/>
    <m/>
    <s v="Not Applicable"/>
    <m/>
    <m/>
    <m/>
    <m/>
    <x v="1"/>
    <n v="0"/>
  </r>
  <r>
    <s v="CAND0276"/>
    <s v="Aanya Agarwal"/>
    <x v="21"/>
    <x v="5"/>
    <x v="1"/>
    <x v="4"/>
    <x v="5"/>
    <x v="1"/>
    <s v="Passed"/>
    <s v="Not Applicable"/>
    <m/>
    <s v="Not Scheduled"/>
    <s v="In Process"/>
    <m/>
    <s v="Not Applicable"/>
    <m/>
    <m/>
    <m/>
    <m/>
    <x v="2"/>
    <n v="0"/>
  </r>
  <r>
    <s v="CAND0277"/>
    <s v="Nisha Rao"/>
    <x v="66"/>
    <x v="3"/>
    <x v="1"/>
    <x v="3"/>
    <x v="3"/>
    <x v="4"/>
    <s v="Rejected"/>
    <s v="Not Applicable"/>
    <m/>
    <s v="Not Applicable"/>
    <s v="Rejected"/>
    <m/>
    <s v="Not Applicable"/>
    <m/>
    <m/>
    <m/>
    <m/>
    <x v="1"/>
    <n v="0"/>
  </r>
  <r>
    <s v="CAND0278"/>
    <s v="Rohan Singh"/>
    <x v="92"/>
    <x v="5"/>
    <x v="1"/>
    <x v="4"/>
    <x v="0"/>
    <x v="1"/>
    <s v="Passed"/>
    <s v="Round 1"/>
    <d v="2026-10-09T00:00:00"/>
    <s v="Completed"/>
    <s v="Rejected"/>
    <m/>
    <s v="Not Applicable"/>
    <m/>
    <n v="16"/>
    <m/>
    <m/>
    <x v="1"/>
    <n v="0"/>
  </r>
  <r>
    <s v="CAND0279"/>
    <s v="Priya Chauhan"/>
    <x v="139"/>
    <x v="2"/>
    <x v="2"/>
    <x v="4"/>
    <x v="5"/>
    <x v="4"/>
    <s v="Passed"/>
    <s v="Round 1"/>
    <d v="2026-10-02T00:00:00"/>
    <s v="Completed"/>
    <s v="Rejected"/>
    <m/>
    <s v="Not Applicable"/>
    <m/>
    <n v="17"/>
    <m/>
    <m/>
    <x v="1"/>
    <n v="0"/>
  </r>
  <r>
    <s v="CAND0280"/>
    <s v="Kavya Gupta"/>
    <x v="159"/>
    <x v="5"/>
    <x v="1"/>
    <x v="4"/>
    <x v="2"/>
    <x v="0"/>
    <s v="Rejected"/>
    <s v="Not Applicable"/>
    <m/>
    <s v="Not Applicable"/>
    <s v="Rejected"/>
    <m/>
    <s v="Not Applicable"/>
    <m/>
    <m/>
    <m/>
    <m/>
    <x v="1"/>
    <n v="0"/>
  </r>
  <r>
    <s v="CAND0281"/>
    <s v="Meera Mehta"/>
    <x v="37"/>
    <x v="2"/>
    <x v="2"/>
    <x v="5"/>
    <x v="1"/>
    <x v="1"/>
    <s v="Passed"/>
    <s v="Round 1"/>
    <d v="2026-04-24T00:00:00"/>
    <s v="Completed"/>
    <s v="Rejected"/>
    <m/>
    <s v="Not Applicable"/>
    <m/>
    <n v="15"/>
    <m/>
    <m/>
    <x v="1"/>
    <n v="0"/>
  </r>
  <r>
    <s v="CAND0282"/>
    <s v="Arjun Malhotra"/>
    <x v="71"/>
    <x v="2"/>
    <x v="2"/>
    <x v="4"/>
    <x v="2"/>
    <x v="3"/>
    <s v="Rejected"/>
    <s v="Not Applicable"/>
    <m/>
    <s v="Not Applicable"/>
    <s v="Rejected"/>
    <m/>
    <s v="Not Applicable"/>
    <m/>
    <m/>
    <m/>
    <m/>
    <x v="1"/>
    <n v="0"/>
  </r>
  <r>
    <s v="CAND0283"/>
    <s v="Aarav Chauhan"/>
    <x v="160"/>
    <x v="5"/>
    <x v="1"/>
    <x v="3"/>
    <x v="0"/>
    <x v="0"/>
    <s v="Rejected"/>
    <s v="Not Applicable"/>
    <m/>
    <s v="Not Applicable"/>
    <s v="Rejected"/>
    <m/>
    <s v="Not Applicable"/>
    <m/>
    <m/>
    <m/>
    <m/>
    <x v="1"/>
    <n v="0"/>
  </r>
  <r>
    <s v="CAND0284"/>
    <s v="Priya Patel"/>
    <x v="151"/>
    <x v="3"/>
    <x v="1"/>
    <x v="2"/>
    <x v="1"/>
    <x v="3"/>
    <s v="Passed"/>
    <s v="Round 1"/>
    <d v="2026-06-01T00:00:00"/>
    <s v="Completed"/>
    <s v="Rejected"/>
    <m/>
    <s v="Not Applicable"/>
    <m/>
    <n v="4"/>
    <m/>
    <m/>
    <x v="1"/>
    <n v="0"/>
  </r>
  <r>
    <s v="CAND0285"/>
    <s v="Arjun Sharma"/>
    <x v="161"/>
    <x v="4"/>
    <x v="2"/>
    <x v="4"/>
    <x v="5"/>
    <x v="1"/>
    <s v="Rejected"/>
    <s v="Not Applicable"/>
    <m/>
    <s v="Not Applicable"/>
    <s v="Rejected"/>
    <m/>
    <s v="Not Applicable"/>
    <m/>
    <m/>
    <m/>
    <m/>
    <x v="1"/>
    <n v="0"/>
  </r>
  <r>
    <s v="CAND0286"/>
    <s v="Kabir Agarwal"/>
    <x v="162"/>
    <x v="1"/>
    <x v="1"/>
    <x v="4"/>
    <x v="5"/>
    <x v="3"/>
    <s v="Passed"/>
    <s v="Round 1"/>
    <d v="2026-03-25T00:00:00"/>
    <s v="Completed"/>
    <s v="Selected"/>
    <d v="2026-03-28T00:00:00"/>
    <s v="Joined"/>
    <d v="2026-04-11T00:00:00"/>
    <n v="17"/>
    <n v="3"/>
    <n v="14"/>
    <x v="0"/>
    <n v="1"/>
  </r>
  <r>
    <s v="CAND0287"/>
    <s v="Sana Sharma"/>
    <x v="163"/>
    <x v="3"/>
    <x v="1"/>
    <x v="1"/>
    <x v="2"/>
    <x v="1"/>
    <s v="Passed"/>
    <s v="Round 1"/>
    <d v="2026-05-21T00:00:00"/>
    <s v="Completed"/>
    <s v="Rejected"/>
    <m/>
    <s v="Not Applicable"/>
    <m/>
    <n v="17"/>
    <m/>
    <m/>
    <x v="1"/>
    <n v="0"/>
  </r>
  <r>
    <s v="CAND0288"/>
    <s v="Vivaan Sinha"/>
    <x v="158"/>
    <x v="1"/>
    <x v="1"/>
    <x v="5"/>
    <x v="4"/>
    <x v="4"/>
    <s v="Rejected"/>
    <s v="Not Applicable"/>
    <m/>
    <s v="Not Applicable"/>
    <s v="Rejected"/>
    <m/>
    <s v="Not Applicable"/>
    <m/>
    <m/>
    <m/>
    <m/>
    <x v="1"/>
    <n v="0"/>
  </r>
  <r>
    <s v="CAND0289"/>
    <s v="Arjun Singh"/>
    <x v="164"/>
    <x v="0"/>
    <x v="0"/>
    <x v="4"/>
    <x v="4"/>
    <x v="0"/>
    <s v="Passed"/>
    <s v="Round 1"/>
    <d v="2026-02-21T00:00:00"/>
    <s v="Completed"/>
    <s v="Rejected"/>
    <m/>
    <s v="Not Applicable"/>
    <m/>
    <n v="10"/>
    <m/>
    <m/>
    <x v="1"/>
    <n v="0"/>
  </r>
  <r>
    <s v="CAND0290"/>
    <s v="Kavya Kapoor"/>
    <x v="102"/>
    <x v="4"/>
    <x v="2"/>
    <x v="4"/>
    <x v="3"/>
    <x v="2"/>
    <s v="Passed"/>
    <s v="Round 1"/>
    <d v="2026-04-17T00:00:00"/>
    <s v="Completed"/>
    <s v="Rejected"/>
    <m/>
    <s v="Not Applicable"/>
    <m/>
    <n v="15"/>
    <m/>
    <m/>
    <x v="1"/>
    <n v="0"/>
  </r>
  <r>
    <s v="CAND0291"/>
    <s v="Kabir Gupta"/>
    <x v="165"/>
    <x v="4"/>
    <x v="2"/>
    <x v="4"/>
    <x v="1"/>
    <x v="0"/>
    <s v="Passed"/>
    <s v="Not Applicable"/>
    <m/>
    <s v="Not Scheduled"/>
    <s v="In Process"/>
    <m/>
    <s v="Not Applicable"/>
    <m/>
    <m/>
    <m/>
    <m/>
    <x v="2"/>
    <n v="0"/>
  </r>
  <r>
    <s v="CAND0292"/>
    <s v="Kabir Sharma"/>
    <x v="23"/>
    <x v="2"/>
    <x v="2"/>
    <x v="1"/>
    <x v="1"/>
    <x v="0"/>
    <s v="Passed"/>
    <s v="Round 1"/>
    <d v="2026-06-06T00:00:00"/>
    <s v="Completed"/>
    <s v="Rejected"/>
    <m/>
    <s v="Not Applicable"/>
    <m/>
    <n v="10"/>
    <m/>
    <m/>
    <x v="1"/>
    <n v="0"/>
  </r>
  <r>
    <s v="CAND0293"/>
    <s v="Riya Malhotra"/>
    <x v="59"/>
    <x v="3"/>
    <x v="1"/>
    <x v="5"/>
    <x v="2"/>
    <x v="4"/>
    <s v="Rejected"/>
    <s v="Not Applicable"/>
    <m/>
    <s v="Not Applicable"/>
    <s v="Rejected"/>
    <m/>
    <s v="Not Applicable"/>
    <m/>
    <m/>
    <m/>
    <m/>
    <x v="1"/>
    <n v="0"/>
  </r>
  <r>
    <s v="CAND0294"/>
    <s v="Ananya Mehta"/>
    <x v="64"/>
    <x v="0"/>
    <x v="0"/>
    <x v="2"/>
    <x v="1"/>
    <x v="1"/>
    <s v="Passed"/>
    <s v="Round 1"/>
    <d v="2026-09-07T00:00:00"/>
    <s v="Completed"/>
    <s v="Rejected"/>
    <m/>
    <s v="Not Applicable"/>
    <m/>
    <n v="14"/>
    <m/>
    <m/>
    <x v="1"/>
    <n v="0"/>
  </r>
  <r>
    <s v="CAND0295"/>
    <s v="Meera Gupta"/>
    <x v="166"/>
    <x v="0"/>
    <x v="0"/>
    <x v="1"/>
    <x v="2"/>
    <x v="1"/>
    <s v="Rejected"/>
    <s v="Not Applicable"/>
    <m/>
    <s v="Not Applicable"/>
    <s v="Rejected"/>
    <m/>
    <s v="Not Applicable"/>
    <m/>
    <m/>
    <m/>
    <m/>
    <x v="1"/>
    <n v="0"/>
  </r>
  <r>
    <s v="CAND0296"/>
    <s v="Aarav Kapoor"/>
    <x v="167"/>
    <x v="2"/>
    <x v="2"/>
    <x v="0"/>
    <x v="0"/>
    <x v="4"/>
    <s v="Rejected"/>
    <s v="Not Applicable"/>
    <m/>
    <s v="Not Applicable"/>
    <s v="Rejected"/>
    <m/>
    <s v="Not Applicable"/>
    <m/>
    <m/>
    <m/>
    <m/>
    <x v="1"/>
    <n v="0"/>
  </r>
  <r>
    <s v="CAND0297"/>
    <s v="Riya Verma"/>
    <x v="23"/>
    <x v="3"/>
    <x v="1"/>
    <x v="4"/>
    <x v="0"/>
    <x v="0"/>
    <s v="Rejected"/>
    <s v="Not Applicable"/>
    <m/>
    <s v="Not Applicable"/>
    <s v="Rejected"/>
    <m/>
    <s v="Not Applicable"/>
    <m/>
    <m/>
    <m/>
    <m/>
    <x v="1"/>
    <n v="0"/>
  </r>
  <r>
    <s v="CAND0298"/>
    <s v="Riya Malhotra"/>
    <x v="22"/>
    <x v="4"/>
    <x v="2"/>
    <x v="3"/>
    <x v="4"/>
    <x v="2"/>
    <s v="Rejected"/>
    <s v="Not Applicable"/>
    <m/>
    <s v="Not Applicable"/>
    <s v="Rejected"/>
    <m/>
    <s v="Not Applicable"/>
    <m/>
    <m/>
    <m/>
    <m/>
    <x v="1"/>
    <n v="0"/>
  </r>
  <r>
    <s v="CAND0299"/>
    <s v="Reyansh Agarwal"/>
    <x v="168"/>
    <x v="3"/>
    <x v="1"/>
    <x v="1"/>
    <x v="4"/>
    <x v="3"/>
    <s v="Rejected"/>
    <s v="Not Applicable"/>
    <m/>
    <s v="Not Applicable"/>
    <s v="Rejected"/>
    <m/>
    <s v="Not Applicable"/>
    <m/>
    <m/>
    <m/>
    <m/>
    <x v="1"/>
    <n v="0"/>
  </r>
  <r>
    <s v="CAND0300"/>
    <s v="Aarav Chauhan"/>
    <x v="15"/>
    <x v="2"/>
    <x v="2"/>
    <x v="4"/>
    <x v="0"/>
    <x v="1"/>
    <s v="Rejected"/>
    <s v="Not Applicable"/>
    <m/>
    <s v="Not Applicable"/>
    <s v="Rejected"/>
    <m/>
    <s v="Not Applicable"/>
    <m/>
    <m/>
    <m/>
    <m/>
    <x v="1"/>
    <n v="0"/>
  </r>
  <r>
    <s v="CAND0301"/>
    <s v="Arjun Singh"/>
    <x v="157"/>
    <x v="2"/>
    <x v="2"/>
    <x v="0"/>
    <x v="3"/>
    <x v="4"/>
    <s v="Rejected"/>
    <s v="Not Applicable"/>
    <m/>
    <s v="Not Applicable"/>
    <s v="Rejected"/>
    <m/>
    <s v="Not Applicable"/>
    <m/>
    <m/>
    <m/>
    <m/>
    <x v="1"/>
    <n v="0"/>
  </r>
  <r>
    <s v="CAND0302"/>
    <s v="Isha Malhotra"/>
    <x v="168"/>
    <x v="2"/>
    <x v="2"/>
    <x v="3"/>
    <x v="5"/>
    <x v="1"/>
    <s v="Passed"/>
    <s v="Round 1"/>
    <d v="2026-07-19T00:00:00"/>
    <s v="Completed"/>
    <s v="Rejected"/>
    <m/>
    <s v="Not Applicable"/>
    <m/>
    <n v="6"/>
    <m/>
    <m/>
    <x v="1"/>
    <n v="0"/>
  </r>
  <r>
    <s v="CAND0303"/>
    <s v="Vivaan Verma"/>
    <x v="87"/>
    <x v="4"/>
    <x v="2"/>
    <x v="4"/>
    <x v="0"/>
    <x v="2"/>
    <s v="Passed"/>
    <s v="Round 1"/>
    <d v="2026-07-01T00:00:00"/>
    <s v="Completed"/>
    <s v="Rejected"/>
    <m/>
    <s v="Not Applicable"/>
    <m/>
    <n v="9"/>
    <m/>
    <m/>
    <x v="1"/>
    <n v="0"/>
  </r>
  <r>
    <s v="CAND0304"/>
    <s v="Isha Kapoor"/>
    <x v="169"/>
    <x v="4"/>
    <x v="2"/>
    <x v="5"/>
    <x v="0"/>
    <x v="3"/>
    <s v="Rejected"/>
    <s v="Not Applicable"/>
    <m/>
    <s v="Not Applicable"/>
    <s v="Rejected"/>
    <m/>
    <s v="Not Applicable"/>
    <m/>
    <m/>
    <m/>
    <m/>
    <x v="1"/>
    <n v="0"/>
  </r>
  <r>
    <s v="CAND0305"/>
    <s v="Rahul Agarwal"/>
    <x v="170"/>
    <x v="1"/>
    <x v="1"/>
    <x v="1"/>
    <x v="5"/>
    <x v="4"/>
    <s v="Passed"/>
    <s v="Round 1"/>
    <d v="2026-03-08T00:00:00"/>
    <s v="Completed"/>
    <s v="Selected"/>
    <d v="2026-03-15T00:00:00"/>
    <s v="Joined"/>
    <d v="2026-04-10T00:00:00"/>
    <n v="12"/>
    <n v="7"/>
    <n v="26"/>
    <x v="0"/>
    <n v="1"/>
  </r>
  <r>
    <s v="CAND0306"/>
    <s v="Isha Verma"/>
    <x v="19"/>
    <x v="2"/>
    <x v="2"/>
    <x v="4"/>
    <x v="4"/>
    <x v="1"/>
    <s v="Passed"/>
    <s v="Round 1"/>
    <d v="2026-03-09T00:00:00"/>
    <s v="Completed"/>
    <s v="Selected"/>
    <d v="2026-03-12T00:00:00"/>
    <s v="Joined"/>
    <d v="2026-04-02T00:00:00"/>
    <n v="14"/>
    <n v="3"/>
    <n v="21"/>
    <x v="0"/>
    <n v="1"/>
  </r>
  <r>
    <s v="CAND0307"/>
    <s v="Karan Patel"/>
    <x v="171"/>
    <x v="4"/>
    <x v="2"/>
    <x v="3"/>
    <x v="0"/>
    <x v="4"/>
    <s v="Passed"/>
    <s v="Round 1"/>
    <d v="2026-09-15T00:00:00"/>
    <s v="Completed"/>
    <s v="Selected"/>
    <d v="2026-09-18T00:00:00"/>
    <s v="Joined"/>
    <d v="2026-10-05T00:00:00"/>
    <n v="10"/>
    <n v="3"/>
    <n v="17"/>
    <x v="0"/>
    <n v="1"/>
  </r>
  <r>
    <s v="CAND0308"/>
    <s v="Aanya Gupta"/>
    <x v="172"/>
    <x v="1"/>
    <x v="1"/>
    <x v="4"/>
    <x v="2"/>
    <x v="4"/>
    <s v="Rejected"/>
    <s v="Not Applicable"/>
    <m/>
    <s v="Not Applicable"/>
    <s v="Rejected"/>
    <m/>
    <s v="Not Applicable"/>
    <m/>
    <m/>
    <m/>
    <m/>
    <x v="1"/>
    <n v="0"/>
  </r>
  <r>
    <s v="CAND0309"/>
    <s v="Priya Agarwal"/>
    <x v="173"/>
    <x v="1"/>
    <x v="1"/>
    <x v="2"/>
    <x v="3"/>
    <x v="1"/>
    <s v="Rejected"/>
    <s v="Not Applicable"/>
    <m/>
    <s v="Not Applicable"/>
    <s v="Rejected"/>
    <m/>
    <s v="Not Applicable"/>
    <m/>
    <m/>
    <m/>
    <m/>
    <x v="1"/>
    <n v="0"/>
  </r>
  <r>
    <s v="CAND0310"/>
    <s v="Aarav Kapoor"/>
    <x v="174"/>
    <x v="4"/>
    <x v="2"/>
    <x v="0"/>
    <x v="3"/>
    <x v="2"/>
    <s v="Passed"/>
    <s v="Round 1"/>
    <d v="2026-08-14T00:00:00"/>
    <s v="Completed"/>
    <s v="Rejected"/>
    <m/>
    <s v="Not Applicable"/>
    <m/>
    <n v="8"/>
    <m/>
    <m/>
    <x v="1"/>
    <n v="0"/>
  </r>
  <r>
    <s v="CAND0311"/>
    <s v="Kabir Patel"/>
    <x v="175"/>
    <x v="1"/>
    <x v="1"/>
    <x v="4"/>
    <x v="4"/>
    <x v="0"/>
    <s v="Passed"/>
    <s v="Round 1"/>
    <d v="2026-01-15T00:00:00"/>
    <s v="Completed"/>
    <s v="Rejected"/>
    <m/>
    <s v="Not Applicable"/>
    <m/>
    <n v="4"/>
    <m/>
    <m/>
    <x v="1"/>
    <n v="0"/>
  </r>
  <r>
    <s v="CAND0312"/>
    <s v="Kabir Sinha"/>
    <x v="137"/>
    <x v="1"/>
    <x v="1"/>
    <x v="4"/>
    <x v="1"/>
    <x v="3"/>
    <s v="Passed"/>
    <s v="Round 1"/>
    <d v="2026-02-02T00:00:00"/>
    <s v="Completed"/>
    <s v="Rejected"/>
    <m/>
    <s v="Not Applicable"/>
    <m/>
    <n v="5"/>
    <m/>
    <m/>
    <x v="1"/>
    <n v="0"/>
  </r>
  <r>
    <s v="CAND0313"/>
    <s v="Aarav Gupta"/>
    <x v="173"/>
    <x v="1"/>
    <x v="1"/>
    <x v="3"/>
    <x v="0"/>
    <x v="3"/>
    <s v="Rejected"/>
    <s v="Not Applicable"/>
    <m/>
    <s v="Not Applicable"/>
    <s v="Rejected"/>
    <m/>
    <s v="Not Applicable"/>
    <m/>
    <m/>
    <m/>
    <m/>
    <x v="1"/>
    <n v="0"/>
  </r>
  <r>
    <s v="CAND0314"/>
    <s v="Rohan Malhotra"/>
    <x v="158"/>
    <x v="0"/>
    <x v="0"/>
    <x v="2"/>
    <x v="0"/>
    <x v="1"/>
    <s v="Rejected"/>
    <s v="Not Applicable"/>
    <m/>
    <s v="Not Applicable"/>
    <s v="Rejected"/>
    <m/>
    <s v="Not Applicable"/>
    <m/>
    <m/>
    <m/>
    <m/>
    <x v="1"/>
    <n v="0"/>
  </r>
  <r>
    <s v="CAND0315"/>
    <s v="Isha Sinha"/>
    <x v="176"/>
    <x v="4"/>
    <x v="2"/>
    <x v="1"/>
    <x v="1"/>
    <x v="0"/>
    <s v="Passed"/>
    <s v="Round 1"/>
    <d v="2026-06-13T00:00:00"/>
    <s v="Completed"/>
    <s v="Selected"/>
    <d v="2026-06-19T00:00:00"/>
    <s v="Joined"/>
    <d v="2026-07-08T00:00:00"/>
    <n v="15"/>
    <n v="6"/>
    <n v="19"/>
    <x v="0"/>
    <n v="1"/>
  </r>
  <r>
    <s v="CAND0316"/>
    <s v="Rohan Sharma"/>
    <x v="177"/>
    <x v="1"/>
    <x v="1"/>
    <x v="3"/>
    <x v="2"/>
    <x v="2"/>
    <s v="Passed"/>
    <s v="Not Applicable"/>
    <m/>
    <s v="Not Scheduled"/>
    <s v="In Process"/>
    <m/>
    <s v="Not Applicable"/>
    <m/>
    <m/>
    <m/>
    <m/>
    <x v="2"/>
    <n v="0"/>
  </r>
  <r>
    <s v="CAND0317"/>
    <s v="Riya Chauhan"/>
    <x v="140"/>
    <x v="4"/>
    <x v="2"/>
    <x v="1"/>
    <x v="0"/>
    <x v="1"/>
    <s v="Passed"/>
    <s v="Round 1"/>
    <d v="2026-10-05T00:00:00"/>
    <s v="Completed"/>
    <s v="Rejected"/>
    <m/>
    <s v="Not Applicable"/>
    <m/>
    <n v="10"/>
    <m/>
    <m/>
    <x v="1"/>
    <n v="0"/>
  </r>
  <r>
    <s v="CAND0318"/>
    <s v="Karan Verma"/>
    <x v="178"/>
    <x v="2"/>
    <x v="2"/>
    <x v="1"/>
    <x v="2"/>
    <x v="2"/>
    <s v="Rejected"/>
    <s v="Not Applicable"/>
    <m/>
    <s v="Not Applicable"/>
    <s v="Rejected"/>
    <m/>
    <s v="Not Applicable"/>
    <m/>
    <m/>
    <m/>
    <m/>
    <x v="1"/>
    <n v="0"/>
  </r>
  <r>
    <s v="CAND0319"/>
    <s v="Arjun Sinha"/>
    <x v="47"/>
    <x v="5"/>
    <x v="1"/>
    <x v="2"/>
    <x v="5"/>
    <x v="2"/>
    <s v="Passed"/>
    <s v="Round 1"/>
    <d v="2026-05-28T00:00:00"/>
    <s v="Completed"/>
    <s v="Rejected"/>
    <m/>
    <s v="Not Applicable"/>
    <m/>
    <n v="14"/>
    <m/>
    <m/>
    <x v="1"/>
    <n v="0"/>
  </r>
  <r>
    <s v="CAND0320"/>
    <s v="Reyansh Sinha"/>
    <x v="179"/>
    <x v="1"/>
    <x v="1"/>
    <x v="1"/>
    <x v="4"/>
    <x v="4"/>
    <s v="Rejected"/>
    <s v="Not Applicable"/>
    <m/>
    <s v="Not Applicable"/>
    <s v="Rejected"/>
    <m/>
    <s v="Not Applicable"/>
    <m/>
    <m/>
    <m/>
    <m/>
    <x v="1"/>
    <n v="0"/>
  </r>
  <r>
    <s v="CAND0321"/>
    <s v="Aanya Agarwal"/>
    <x v="165"/>
    <x v="2"/>
    <x v="2"/>
    <x v="3"/>
    <x v="2"/>
    <x v="0"/>
    <s v="Passed"/>
    <s v="Round 1"/>
    <d v="2026-08-12T00:00:00"/>
    <s v="Completed"/>
    <s v="Rejected"/>
    <m/>
    <s v="Not Applicable"/>
    <m/>
    <n v="10"/>
    <m/>
    <m/>
    <x v="1"/>
    <n v="0"/>
  </r>
  <r>
    <s v="CAND0322"/>
    <s v="Karan Sharma"/>
    <x v="180"/>
    <x v="1"/>
    <x v="1"/>
    <x v="0"/>
    <x v="3"/>
    <x v="1"/>
    <s v="Passed"/>
    <s v="Not Applicable"/>
    <m/>
    <s v="Not Scheduled"/>
    <s v="In Process"/>
    <m/>
    <s v="Not Applicable"/>
    <m/>
    <m/>
    <m/>
    <m/>
    <x v="2"/>
    <n v="0"/>
  </r>
  <r>
    <s v="CAND0323"/>
    <s v="Diya Singh"/>
    <x v="98"/>
    <x v="0"/>
    <x v="0"/>
    <x v="5"/>
    <x v="1"/>
    <x v="4"/>
    <s v="Rejected"/>
    <s v="Not Applicable"/>
    <m/>
    <s v="Not Applicable"/>
    <s v="Rejected"/>
    <m/>
    <s v="Not Applicable"/>
    <m/>
    <m/>
    <m/>
    <m/>
    <x v="1"/>
    <n v="0"/>
  </r>
  <r>
    <s v="CAND0324"/>
    <s v="Aarav Sharma"/>
    <x v="181"/>
    <x v="1"/>
    <x v="1"/>
    <x v="5"/>
    <x v="1"/>
    <x v="1"/>
    <s v="Rejected"/>
    <s v="Not Applicable"/>
    <m/>
    <s v="Not Applicable"/>
    <s v="Rejected"/>
    <m/>
    <s v="Not Applicable"/>
    <m/>
    <m/>
    <m/>
    <m/>
    <x v="1"/>
    <n v="0"/>
  </r>
  <r>
    <s v="CAND0325"/>
    <s v="Priya Verma"/>
    <x v="182"/>
    <x v="1"/>
    <x v="1"/>
    <x v="1"/>
    <x v="5"/>
    <x v="4"/>
    <s v="Rejected"/>
    <s v="Not Applicable"/>
    <m/>
    <s v="Not Applicable"/>
    <s v="Rejected"/>
    <m/>
    <s v="Not Applicable"/>
    <m/>
    <m/>
    <m/>
    <m/>
    <x v="1"/>
    <n v="0"/>
  </r>
  <r>
    <s v="CAND0326"/>
    <s v="Vivaan Chauhan"/>
    <x v="10"/>
    <x v="5"/>
    <x v="1"/>
    <x v="4"/>
    <x v="0"/>
    <x v="4"/>
    <s v="Rejected"/>
    <s v="Not Applicable"/>
    <m/>
    <s v="Not Applicable"/>
    <s v="Rejected"/>
    <m/>
    <s v="Not Applicable"/>
    <m/>
    <m/>
    <m/>
    <m/>
    <x v="1"/>
    <n v="0"/>
  </r>
  <r>
    <s v="CAND0327"/>
    <s v="Rohan Sinha"/>
    <x v="183"/>
    <x v="5"/>
    <x v="1"/>
    <x v="4"/>
    <x v="4"/>
    <x v="2"/>
    <s v="Passed"/>
    <s v="Round 1"/>
    <d v="2026-08-18T00:00:00"/>
    <s v="Completed"/>
    <s v="Rejected"/>
    <m/>
    <s v="Not Applicable"/>
    <m/>
    <n v="6"/>
    <m/>
    <m/>
    <x v="1"/>
    <n v="0"/>
  </r>
  <r>
    <s v="CAND0328"/>
    <s v="Ananya Chauhan"/>
    <x v="114"/>
    <x v="2"/>
    <x v="2"/>
    <x v="0"/>
    <x v="0"/>
    <x v="3"/>
    <s v="Rejected"/>
    <s v="Not Applicable"/>
    <m/>
    <s v="Not Applicable"/>
    <s v="Rejected"/>
    <m/>
    <s v="Not Applicable"/>
    <m/>
    <m/>
    <m/>
    <m/>
    <x v="1"/>
    <n v="0"/>
  </r>
  <r>
    <s v="CAND0329"/>
    <s v="Aanya Rao"/>
    <x v="48"/>
    <x v="4"/>
    <x v="2"/>
    <x v="3"/>
    <x v="0"/>
    <x v="1"/>
    <s v="Rejected"/>
    <s v="Not Applicable"/>
    <m/>
    <s v="Not Applicable"/>
    <s v="Rejected"/>
    <m/>
    <s v="Not Applicable"/>
    <m/>
    <m/>
    <m/>
    <m/>
    <x v="1"/>
    <n v="0"/>
  </r>
  <r>
    <s v="CAND0330"/>
    <s v="Arjun Malhotra"/>
    <x v="3"/>
    <x v="1"/>
    <x v="1"/>
    <x v="4"/>
    <x v="0"/>
    <x v="2"/>
    <s v="Rejected"/>
    <s v="Not Applicable"/>
    <m/>
    <s v="Not Applicable"/>
    <s v="Rejected"/>
    <m/>
    <s v="Not Applicable"/>
    <m/>
    <m/>
    <m/>
    <m/>
    <x v="1"/>
    <n v="0"/>
  </r>
  <r>
    <s v="CAND0331"/>
    <s v="Reyansh Sinha"/>
    <x v="98"/>
    <x v="3"/>
    <x v="1"/>
    <x v="2"/>
    <x v="4"/>
    <x v="2"/>
    <s v="Rejected"/>
    <s v="Not Applicable"/>
    <m/>
    <s v="Not Applicable"/>
    <s v="Rejected"/>
    <m/>
    <s v="Not Applicable"/>
    <m/>
    <m/>
    <m/>
    <m/>
    <x v="1"/>
    <n v="0"/>
  </r>
  <r>
    <s v="CAND0332"/>
    <s v="Sana Kapoor"/>
    <x v="114"/>
    <x v="0"/>
    <x v="0"/>
    <x v="4"/>
    <x v="5"/>
    <x v="3"/>
    <s v="Rejected"/>
    <s v="Not Applicable"/>
    <m/>
    <s v="Not Applicable"/>
    <s v="Rejected"/>
    <m/>
    <s v="Not Applicable"/>
    <m/>
    <m/>
    <m/>
    <m/>
    <x v="1"/>
    <n v="0"/>
  </r>
  <r>
    <s v="CAND0333"/>
    <s v="Rahul Chauhan"/>
    <x v="166"/>
    <x v="0"/>
    <x v="0"/>
    <x v="4"/>
    <x v="1"/>
    <x v="2"/>
    <s v="Rejected"/>
    <s v="Not Applicable"/>
    <m/>
    <s v="Not Applicable"/>
    <s v="Rejected"/>
    <m/>
    <s v="Not Applicable"/>
    <m/>
    <m/>
    <m/>
    <m/>
    <x v="1"/>
    <n v="0"/>
  </r>
  <r>
    <s v="CAND0334"/>
    <s v="Diya Sinha"/>
    <x v="184"/>
    <x v="2"/>
    <x v="2"/>
    <x v="4"/>
    <x v="2"/>
    <x v="3"/>
    <s v="Passed"/>
    <s v="Round 1"/>
    <d v="2026-07-05T00:00:00"/>
    <s v="Completed"/>
    <s v="Rejected"/>
    <m/>
    <s v="Not Applicable"/>
    <m/>
    <n v="15"/>
    <m/>
    <m/>
    <x v="1"/>
    <n v="0"/>
  </r>
  <r>
    <s v="CAND0335"/>
    <s v="Ishaan Sharma"/>
    <x v="72"/>
    <x v="1"/>
    <x v="1"/>
    <x v="5"/>
    <x v="0"/>
    <x v="2"/>
    <s v="Rejected"/>
    <s v="Not Applicable"/>
    <m/>
    <s v="Not Applicable"/>
    <s v="Rejected"/>
    <m/>
    <s v="Not Applicable"/>
    <m/>
    <m/>
    <m/>
    <m/>
    <x v="1"/>
    <n v="0"/>
  </r>
  <r>
    <s v="CAND0336"/>
    <s v="Sana Sinha"/>
    <x v="30"/>
    <x v="2"/>
    <x v="2"/>
    <x v="1"/>
    <x v="0"/>
    <x v="2"/>
    <s v="Passed"/>
    <s v="Not Applicable"/>
    <m/>
    <s v="Not Scheduled"/>
    <s v="In Process"/>
    <m/>
    <s v="Not Applicable"/>
    <m/>
    <m/>
    <m/>
    <m/>
    <x v="2"/>
    <n v="0"/>
  </r>
  <r>
    <s v="CAND0337"/>
    <s v="Sana Gupta"/>
    <x v="105"/>
    <x v="3"/>
    <x v="1"/>
    <x v="4"/>
    <x v="1"/>
    <x v="2"/>
    <s v="Rejected"/>
    <s v="Not Applicable"/>
    <m/>
    <s v="Not Applicable"/>
    <s v="Rejected"/>
    <m/>
    <s v="Not Applicable"/>
    <m/>
    <m/>
    <m/>
    <m/>
    <x v="1"/>
    <n v="0"/>
  </r>
  <r>
    <s v="CAND0338"/>
    <s v="Diya Mehta"/>
    <x v="92"/>
    <x v="0"/>
    <x v="0"/>
    <x v="4"/>
    <x v="4"/>
    <x v="4"/>
    <s v="Passed"/>
    <s v="Not Applicable"/>
    <m/>
    <s v="Not Scheduled"/>
    <s v="In Process"/>
    <m/>
    <s v="Not Applicable"/>
    <m/>
    <m/>
    <m/>
    <m/>
    <x v="2"/>
    <n v="0"/>
  </r>
  <r>
    <s v="CAND0339"/>
    <s v="Nisha Sinha"/>
    <x v="185"/>
    <x v="5"/>
    <x v="1"/>
    <x v="1"/>
    <x v="4"/>
    <x v="0"/>
    <s v="Passed"/>
    <s v="Not Applicable"/>
    <m/>
    <s v="Not Scheduled"/>
    <s v="In Process"/>
    <m/>
    <s v="Not Applicable"/>
    <m/>
    <m/>
    <m/>
    <m/>
    <x v="2"/>
    <n v="0"/>
  </r>
  <r>
    <s v="CAND0340"/>
    <s v="Rahul Gupta"/>
    <x v="128"/>
    <x v="5"/>
    <x v="1"/>
    <x v="0"/>
    <x v="2"/>
    <x v="0"/>
    <s v="Passed"/>
    <s v="Not Applicable"/>
    <m/>
    <s v="Not Scheduled"/>
    <s v="In Process"/>
    <m/>
    <s v="Not Applicable"/>
    <m/>
    <m/>
    <m/>
    <m/>
    <x v="2"/>
    <n v="0"/>
  </r>
  <r>
    <s v="CAND0341"/>
    <s v="Arjun Agarwal"/>
    <x v="166"/>
    <x v="2"/>
    <x v="2"/>
    <x v="4"/>
    <x v="1"/>
    <x v="3"/>
    <s v="Passed"/>
    <s v="Round 1"/>
    <d v="2026-09-13T00:00:00"/>
    <s v="Completed"/>
    <s v="Rejected"/>
    <m/>
    <s v="Not Applicable"/>
    <m/>
    <n v="14"/>
    <m/>
    <m/>
    <x v="1"/>
    <n v="0"/>
  </r>
  <r>
    <s v="CAND0342"/>
    <s v="Arjun Verma"/>
    <x v="186"/>
    <x v="1"/>
    <x v="1"/>
    <x v="4"/>
    <x v="1"/>
    <x v="3"/>
    <s v="Rejected"/>
    <s v="Not Applicable"/>
    <m/>
    <s v="Not Applicable"/>
    <s v="Rejected"/>
    <m/>
    <s v="Not Applicable"/>
    <m/>
    <m/>
    <m/>
    <m/>
    <x v="1"/>
    <n v="0"/>
  </r>
  <r>
    <s v="CAND0343"/>
    <s v="Karan Mehta"/>
    <x v="187"/>
    <x v="3"/>
    <x v="1"/>
    <x v="1"/>
    <x v="2"/>
    <x v="4"/>
    <s v="Passed"/>
    <s v="Round 1"/>
    <d v="2026-02-01T00:00:00"/>
    <s v="Completed"/>
    <s v="Rejected"/>
    <m/>
    <s v="Not Applicable"/>
    <m/>
    <n v="8"/>
    <m/>
    <m/>
    <x v="1"/>
    <n v="0"/>
  </r>
  <r>
    <s v="CAND0344"/>
    <s v="Arjun Chauhan"/>
    <x v="56"/>
    <x v="2"/>
    <x v="2"/>
    <x v="3"/>
    <x v="5"/>
    <x v="0"/>
    <s v="Passed"/>
    <s v="Round 1"/>
    <d v="2026-09-15T00:00:00"/>
    <s v="Completed"/>
    <s v="Selected"/>
    <d v="2026-09-19T00:00:00"/>
    <s v="Offer Declined"/>
    <m/>
    <n v="9"/>
    <n v="4"/>
    <m/>
    <x v="0"/>
    <n v="1"/>
  </r>
  <r>
    <s v="CAND0345"/>
    <s v="Nisha Joshi"/>
    <x v="188"/>
    <x v="0"/>
    <x v="0"/>
    <x v="2"/>
    <x v="5"/>
    <x v="0"/>
    <s v="Rejected"/>
    <s v="Not Applicable"/>
    <m/>
    <s v="Not Applicable"/>
    <s v="Rejected"/>
    <m/>
    <s v="Not Applicable"/>
    <m/>
    <m/>
    <m/>
    <m/>
    <x v="1"/>
    <n v="0"/>
  </r>
  <r>
    <s v="CAND0346"/>
    <s v="Rahul Agarwal"/>
    <x v="189"/>
    <x v="3"/>
    <x v="1"/>
    <x v="0"/>
    <x v="2"/>
    <x v="0"/>
    <s v="Passed"/>
    <s v="Round 1"/>
    <d v="2026-07-14T00:00:00"/>
    <s v="Completed"/>
    <s v="Rejected"/>
    <m/>
    <s v="Not Applicable"/>
    <m/>
    <n v="10"/>
    <m/>
    <m/>
    <x v="1"/>
    <n v="0"/>
  </r>
  <r>
    <s v="CAND0347"/>
    <s v="Priya Gupta"/>
    <x v="149"/>
    <x v="2"/>
    <x v="2"/>
    <x v="1"/>
    <x v="4"/>
    <x v="3"/>
    <s v="Rejected"/>
    <s v="Not Applicable"/>
    <m/>
    <s v="Not Applicable"/>
    <s v="Rejected"/>
    <m/>
    <s v="Not Applicable"/>
    <m/>
    <m/>
    <m/>
    <m/>
    <x v="1"/>
    <n v="0"/>
  </r>
  <r>
    <s v="CAND0348"/>
    <s v="Vivaan Kapoor"/>
    <x v="190"/>
    <x v="3"/>
    <x v="1"/>
    <x v="3"/>
    <x v="4"/>
    <x v="4"/>
    <s v="Passed"/>
    <s v="Round 1"/>
    <d v="2026-03-01T00:00:00"/>
    <s v="Completed"/>
    <s v="Rejected"/>
    <m/>
    <s v="Not Applicable"/>
    <m/>
    <n v="12"/>
    <m/>
    <m/>
    <x v="1"/>
    <n v="0"/>
  </r>
  <r>
    <s v="CAND0349"/>
    <s v="Priya Verma"/>
    <x v="186"/>
    <x v="0"/>
    <x v="0"/>
    <x v="5"/>
    <x v="1"/>
    <x v="2"/>
    <s v="Rejected"/>
    <s v="Not Applicable"/>
    <m/>
    <s v="Not Applicable"/>
    <s v="Rejected"/>
    <m/>
    <s v="Not Applicable"/>
    <m/>
    <m/>
    <m/>
    <m/>
    <x v="1"/>
    <n v="0"/>
  </r>
  <r>
    <s v="CAND0350"/>
    <s v="Aditya Sharma"/>
    <x v="117"/>
    <x v="2"/>
    <x v="2"/>
    <x v="4"/>
    <x v="0"/>
    <x v="1"/>
    <s v="Rejected"/>
    <s v="Not Applicable"/>
    <m/>
    <s v="Not Applicable"/>
    <s v="Rejected"/>
    <m/>
    <s v="Not Applicable"/>
    <m/>
    <m/>
    <m/>
    <m/>
    <x v="1"/>
    <n v="0"/>
  </r>
  <r>
    <s v="CAND0351"/>
    <s v="Kavya Sharma"/>
    <x v="71"/>
    <x v="0"/>
    <x v="0"/>
    <x v="2"/>
    <x v="4"/>
    <x v="4"/>
    <s v="Passed"/>
    <s v="Round 1"/>
    <d v="2026-03-11T00:00:00"/>
    <s v="Completed"/>
    <s v="Rejected"/>
    <m/>
    <s v="Not Applicable"/>
    <m/>
    <n v="7"/>
    <m/>
    <m/>
    <x v="1"/>
    <n v="0"/>
  </r>
  <r>
    <s v="CAND0352"/>
    <s v="Rohan Mehta"/>
    <x v="35"/>
    <x v="0"/>
    <x v="0"/>
    <x v="3"/>
    <x v="0"/>
    <x v="2"/>
    <s v="Passed"/>
    <s v="Round 1"/>
    <d v="2026-02-18T00:00:00"/>
    <s v="Completed"/>
    <s v="Rejected"/>
    <m/>
    <s v="Not Applicable"/>
    <m/>
    <n v="6"/>
    <m/>
    <m/>
    <x v="1"/>
    <n v="0"/>
  </r>
  <r>
    <s v="CAND0353"/>
    <s v="Aditya Singh"/>
    <x v="191"/>
    <x v="2"/>
    <x v="2"/>
    <x v="3"/>
    <x v="1"/>
    <x v="0"/>
    <s v="Rejected"/>
    <s v="Not Applicable"/>
    <m/>
    <s v="Not Applicable"/>
    <s v="Rejected"/>
    <m/>
    <s v="Not Applicable"/>
    <m/>
    <m/>
    <m/>
    <m/>
    <x v="1"/>
    <n v="0"/>
  </r>
  <r>
    <s v="CAND0354"/>
    <s v="Vivaan Kapoor"/>
    <x v="31"/>
    <x v="3"/>
    <x v="1"/>
    <x v="0"/>
    <x v="2"/>
    <x v="1"/>
    <s v="Rejected"/>
    <s v="Not Applicable"/>
    <m/>
    <s v="Not Applicable"/>
    <s v="Rejected"/>
    <m/>
    <s v="Not Applicable"/>
    <m/>
    <m/>
    <m/>
    <m/>
    <x v="1"/>
    <n v="0"/>
  </r>
  <r>
    <s v="CAND0355"/>
    <s v="Nisha Singh"/>
    <x v="22"/>
    <x v="4"/>
    <x v="2"/>
    <x v="4"/>
    <x v="2"/>
    <x v="3"/>
    <s v="Rejected"/>
    <s v="Not Applicable"/>
    <m/>
    <s v="Not Applicable"/>
    <s v="Rejected"/>
    <m/>
    <s v="Not Applicable"/>
    <m/>
    <m/>
    <m/>
    <m/>
    <x v="1"/>
    <n v="0"/>
  </r>
  <r>
    <s v="CAND0356"/>
    <s v="Rohan Sharma"/>
    <x v="192"/>
    <x v="3"/>
    <x v="1"/>
    <x v="4"/>
    <x v="0"/>
    <x v="1"/>
    <s v="Passed"/>
    <s v="Round 1"/>
    <d v="2026-08-02T00:00:00"/>
    <s v="Completed"/>
    <s v="Rejected"/>
    <m/>
    <s v="Not Applicable"/>
    <m/>
    <n v="4"/>
    <m/>
    <m/>
    <x v="1"/>
    <n v="0"/>
  </r>
  <r>
    <s v="CAND0357"/>
    <s v="Kabir Rao"/>
    <x v="10"/>
    <x v="0"/>
    <x v="0"/>
    <x v="4"/>
    <x v="5"/>
    <x v="3"/>
    <s v="Passed"/>
    <s v="Round 1"/>
    <d v="2026-01-14T00:00:00"/>
    <s v="Completed"/>
    <s v="Rejected"/>
    <m/>
    <s v="Not Applicable"/>
    <m/>
    <n v="9"/>
    <m/>
    <m/>
    <x v="1"/>
    <n v="0"/>
  </r>
  <r>
    <s v="CAND0358"/>
    <s v="Sana Sinha"/>
    <x v="29"/>
    <x v="5"/>
    <x v="1"/>
    <x v="0"/>
    <x v="3"/>
    <x v="3"/>
    <s v="Rejected"/>
    <s v="Not Applicable"/>
    <m/>
    <s v="Not Applicable"/>
    <s v="Rejected"/>
    <m/>
    <s v="Not Applicable"/>
    <m/>
    <m/>
    <m/>
    <m/>
    <x v="1"/>
    <n v="0"/>
  </r>
  <r>
    <s v="CAND0359"/>
    <s v="Kabir Malhotra"/>
    <x v="193"/>
    <x v="1"/>
    <x v="1"/>
    <x v="1"/>
    <x v="0"/>
    <x v="2"/>
    <s v="Passed"/>
    <s v="Not Applicable"/>
    <m/>
    <s v="Not Scheduled"/>
    <s v="In Process"/>
    <m/>
    <s v="Not Applicable"/>
    <m/>
    <m/>
    <m/>
    <m/>
    <x v="2"/>
    <n v="0"/>
  </r>
  <r>
    <s v="CAND0360"/>
    <s v="Aditya Verma"/>
    <x v="188"/>
    <x v="0"/>
    <x v="0"/>
    <x v="2"/>
    <x v="4"/>
    <x v="3"/>
    <s v="Passed"/>
    <s v="Round 1"/>
    <d v="2026-06-23T00:00:00"/>
    <s v="Completed"/>
    <s v="Rejected"/>
    <m/>
    <s v="Not Applicable"/>
    <m/>
    <n v="5"/>
    <m/>
    <m/>
    <x v="1"/>
    <n v="0"/>
  </r>
  <r>
    <s v="CAND0361"/>
    <s v="Karan Patel"/>
    <x v="163"/>
    <x v="4"/>
    <x v="2"/>
    <x v="4"/>
    <x v="4"/>
    <x v="3"/>
    <s v="Passed"/>
    <s v="Not Applicable"/>
    <m/>
    <s v="Not Scheduled"/>
    <s v="In Process"/>
    <m/>
    <s v="Not Applicable"/>
    <m/>
    <m/>
    <m/>
    <m/>
    <x v="2"/>
    <n v="0"/>
  </r>
  <r>
    <s v="CAND0362"/>
    <s v="Meera Rao"/>
    <x v="151"/>
    <x v="4"/>
    <x v="2"/>
    <x v="3"/>
    <x v="1"/>
    <x v="0"/>
    <s v="Passed"/>
    <s v="Not Applicable"/>
    <m/>
    <s v="Not Scheduled"/>
    <s v="In Process"/>
    <m/>
    <s v="Not Applicable"/>
    <m/>
    <m/>
    <m/>
    <m/>
    <x v="2"/>
    <n v="0"/>
  </r>
  <r>
    <s v="CAND0363"/>
    <s v="Nisha Agarwal"/>
    <x v="92"/>
    <x v="5"/>
    <x v="1"/>
    <x v="1"/>
    <x v="4"/>
    <x v="3"/>
    <s v="Passed"/>
    <s v="Round 1"/>
    <d v="2026-09-27T00:00:00"/>
    <s v="Completed"/>
    <s v="Rejected"/>
    <m/>
    <s v="Not Applicable"/>
    <m/>
    <n v="4"/>
    <m/>
    <m/>
    <x v="1"/>
    <n v="0"/>
  </r>
  <r>
    <s v="CAND0364"/>
    <s v="Diya Malhotra"/>
    <x v="92"/>
    <x v="4"/>
    <x v="2"/>
    <x v="5"/>
    <x v="0"/>
    <x v="0"/>
    <s v="Passed"/>
    <s v="Round 1"/>
    <d v="2026-10-05T00:00:00"/>
    <s v="Completed"/>
    <s v="Rejected"/>
    <m/>
    <s v="Not Applicable"/>
    <m/>
    <n v="12"/>
    <m/>
    <m/>
    <x v="1"/>
    <n v="0"/>
  </r>
  <r>
    <s v="CAND0365"/>
    <s v="Rahul Patel"/>
    <x v="194"/>
    <x v="1"/>
    <x v="1"/>
    <x v="5"/>
    <x v="1"/>
    <x v="2"/>
    <s v="Passed"/>
    <s v="Not Applicable"/>
    <m/>
    <s v="Not Scheduled"/>
    <s v="In Process"/>
    <m/>
    <s v="Not Applicable"/>
    <m/>
    <m/>
    <m/>
    <m/>
    <x v="2"/>
    <n v="0"/>
  </r>
  <r>
    <s v="CAND0366"/>
    <s v="Meera Chauhan"/>
    <x v="195"/>
    <x v="4"/>
    <x v="2"/>
    <x v="3"/>
    <x v="1"/>
    <x v="2"/>
    <s v="Passed"/>
    <s v="Not Applicable"/>
    <m/>
    <s v="Not Scheduled"/>
    <s v="In Process"/>
    <m/>
    <s v="Not Applicable"/>
    <m/>
    <m/>
    <m/>
    <m/>
    <x v="2"/>
    <n v="0"/>
  </r>
  <r>
    <s v="CAND0367"/>
    <s v="Karan Agarwal"/>
    <x v="44"/>
    <x v="5"/>
    <x v="1"/>
    <x v="4"/>
    <x v="4"/>
    <x v="1"/>
    <s v="Rejected"/>
    <s v="Not Applicable"/>
    <m/>
    <s v="Not Applicable"/>
    <s v="Rejected"/>
    <m/>
    <s v="Not Applicable"/>
    <m/>
    <m/>
    <m/>
    <m/>
    <x v="1"/>
    <n v="0"/>
  </r>
  <r>
    <s v="CAND0368"/>
    <s v="Aditya Joshi"/>
    <x v="49"/>
    <x v="2"/>
    <x v="2"/>
    <x v="0"/>
    <x v="1"/>
    <x v="1"/>
    <s v="Passed"/>
    <s v="Round 1"/>
    <d v="2026-08-11T00:00:00"/>
    <s v="Completed"/>
    <s v="Selected"/>
    <d v="2026-08-15T00:00:00"/>
    <s v="Joined"/>
    <d v="2026-09-11T00:00:00"/>
    <n v="11"/>
    <n v="4"/>
    <n v="27"/>
    <x v="0"/>
    <n v="1"/>
  </r>
  <r>
    <s v="CAND0369"/>
    <s v="Nisha Gupta"/>
    <x v="21"/>
    <x v="4"/>
    <x v="2"/>
    <x v="5"/>
    <x v="0"/>
    <x v="2"/>
    <s v="Rejected"/>
    <s v="Not Applicable"/>
    <m/>
    <s v="Not Applicable"/>
    <s v="Rejected"/>
    <m/>
    <s v="Not Applicable"/>
    <m/>
    <m/>
    <m/>
    <m/>
    <x v="1"/>
    <n v="0"/>
  </r>
  <r>
    <s v="CAND0370"/>
    <s v="Rohan Rao"/>
    <x v="196"/>
    <x v="0"/>
    <x v="0"/>
    <x v="1"/>
    <x v="5"/>
    <x v="3"/>
    <s v="Passed"/>
    <s v="Round 1"/>
    <d v="2026-03-30T00:00:00"/>
    <s v="Completed"/>
    <s v="Rejected"/>
    <m/>
    <s v="Not Applicable"/>
    <m/>
    <n v="12"/>
    <m/>
    <m/>
    <x v="1"/>
    <n v="0"/>
  </r>
  <r>
    <s v="CAND0371"/>
    <s v="Ananya Rao"/>
    <x v="197"/>
    <x v="1"/>
    <x v="1"/>
    <x v="0"/>
    <x v="0"/>
    <x v="2"/>
    <s v="Rejected"/>
    <s v="Not Applicable"/>
    <m/>
    <s v="Not Applicable"/>
    <s v="Rejected"/>
    <m/>
    <s v="Not Applicable"/>
    <m/>
    <m/>
    <m/>
    <m/>
    <x v="1"/>
    <n v="0"/>
  </r>
  <r>
    <s v="CAND0372"/>
    <s v="Kavya Verma"/>
    <x v="128"/>
    <x v="0"/>
    <x v="0"/>
    <x v="1"/>
    <x v="1"/>
    <x v="3"/>
    <s v="Rejected"/>
    <s v="Not Applicable"/>
    <m/>
    <s v="Not Applicable"/>
    <s v="Rejected"/>
    <m/>
    <s v="Not Applicable"/>
    <m/>
    <m/>
    <m/>
    <m/>
    <x v="1"/>
    <n v="0"/>
  </r>
  <r>
    <s v="CAND0373"/>
    <s v="Ishaan Sinha"/>
    <x v="71"/>
    <x v="3"/>
    <x v="1"/>
    <x v="4"/>
    <x v="5"/>
    <x v="1"/>
    <s v="Rejected"/>
    <s v="Not Applicable"/>
    <m/>
    <s v="Not Applicable"/>
    <s v="Rejected"/>
    <m/>
    <s v="Not Applicable"/>
    <m/>
    <m/>
    <m/>
    <m/>
    <x v="1"/>
    <n v="0"/>
  </r>
  <r>
    <s v="CAND0374"/>
    <s v="Riya Sinha"/>
    <x v="198"/>
    <x v="1"/>
    <x v="1"/>
    <x v="0"/>
    <x v="0"/>
    <x v="2"/>
    <s v="Passed"/>
    <s v="Not Applicable"/>
    <m/>
    <s v="Not Scheduled"/>
    <s v="In Process"/>
    <m/>
    <s v="Not Applicable"/>
    <m/>
    <m/>
    <m/>
    <m/>
    <x v="2"/>
    <n v="0"/>
  </r>
  <r>
    <s v="CAND0375"/>
    <s v="Sana Singh"/>
    <x v="75"/>
    <x v="0"/>
    <x v="0"/>
    <x v="3"/>
    <x v="3"/>
    <x v="3"/>
    <s v="Rejected"/>
    <s v="Not Applicable"/>
    <m/>
    <s v="Not Applicable"/>
    <s v="Rejected"/>
    <m/>
    <s v="Not Applicable"/>
    <m/>
    <m/>
    <m/>
    <m/>
    <x v="1"/>
    <n v="0"/>
  </r>
  <r>
    <s v="CAND0376"/>
    <s v="Diya Mishra"/>
    <x v="40"/>
    <x v="2"/>
    <x v="2"/>
    <x v="1"/>
    <x v="3"/>
    <x v="2"/>
    <s v="Passed"/>
    <s v="Round 1"/>
    <d v="2026-03-17T00:00:00"/>
    <s v="Completed"/>
    <s v="Rejected"/>
    <m/>
    <s v="Not Applicable"/>
    <m/>
    <n v="7"/>
    <m/>
    <m/>
    <x v="1"/>
    <n v="0"/>
  </r>
  <r>
    <s v="CAND0377"/>
    <s v="Aarav Sharma"/>
    <x v="149"/>
    <x v="0"/>
    <x v="0"/>
    <x v="3"/>
    <x v="4"/>
    <x v="4"/>
    <s v="Passed"/>
    <s v="Not Applicable"/>
    <m/>
    <s v="Not Scheduled"/>
    <s v="In Process"/>
    <m/>
    <s v="Not Applicable"/>
    <m/>
    <m/>
    <m/>
    <m/>
    <x v="2"/>
    <n v="0"/>
  </r>
  <r>
    <s v="CAND0378"/>
    <s v="Rahul Mishra"/>
    <x v="111"/>
    <x v="1"/>
    <x v="1"/>
    <x v="0"/>
    <x v="0"/>
    <x v="4"/>
    <s v="Rejected"/>
    <s v="Not Applicable"/>
    <m/>
    <s v="Not Applicable"/>
    <s v="Rejected"/>
    <m/>
    <s v="Not Applicable"/>
    <m/>
    <m/>
    <m/>
    <m/>
    <x v="1"/>
    <n v="0"/>
  </r>
  <r>
    <s v="CAND0379"/>
    <s v="Reyansh Khan"/>
    <x v="70"/>
    <x v="1"/>
    <x v="1"/>
    <x v="2"/>
    <x v="4"/>
    <x v="4"/>
    <s v="Passed"/>
    <s v="Round 1"/>
    <d v="2026-03-27T00:00:00"/>
    <s v="Completed"/>
    <s v="Selected"/>
    <d v="2026-04-02T00:00:00"/>
    <s v="Joined"/>
    <d v="2026-04-28T00:00:00"/>
    <n v="10"/>
    <n v="6"/>
    <n v="26"/>
    <x v="0"/>
    <n v="1"/>
  </r>
  <r>
    <s v="CAND0380"/>
    <s v="Nisha Joshi"/>
    <x v="47"/>
    <x v="0"/>
    <x v="0"/>
    <x v="1"/>
    <x v="5"/>
    <x v="4"/>
    <s v="Passed"/>
    <s v="Not Applicable"/>
    <m/>
    <s v="Not Scheduled"/>
    <s v="In Process"/>
    <m/>
    <s v="Not Applicable"/>
    <m/>
    <m/>
    <m/>
    <m/>
    <x v="2"/>
    <n v="0"/>
  </r>
  <r>
    <s v="CAND0381"/>
    <s v="Ananya Sinha"/>
    <x v="43"/>
    <x v="3"/>
    <x v="1"/>
    <x v="4"/>
    <x v="0"/>
    <x v="4"/>
    <s v="Passed"/>
    <s v="Round 1"/>
    <d v="2026-05-11T00:00:00"/>
    <s v="Completed"/>
    <s v="Selected"/>
    <d v="2026-05-18T00:00:00"/>
    <s v="Joined"/>
    <d v="2026-06-04T00:00:00"/>
    <n v="9"/>
    <n v="7"/>
    <n v="17"/>
    <x v="0"/>
    <n v="1"/>
  </r>
  <r>
    <s v="CAND0382"/>
    <s v="Kavya Verma"/>
    <x v="77"/>
    <x v="5"/>
    <x v="1"/>
    <x v="1"/>
    <x v="5"/>
    <x v="2"/>
    <s v="Passed"/>
    <s v="Not Applicable"/>
    <m/>
    <s v="Not Scheduled"/>
    <s v="In Process"/>
    <m/>
    <s v="Not Applicable"/>
    <m/>
    <m/>
    <m/>
    <m/>
    <x v="2"/>
    <n v="0"/>
  </r>
  <r>
    <s v="CAND0383"/>
    <s v="Ishaan Kapoor"/>
    <x v="74"/>
    <x v="1"/>
    <x v="1"/>
    <x v="1"/>
    <x v="1"/>
    <x v="0"/>
    <s v="Rejected"/>
    <s v="Not Applicable"/>
    <m/>
    <s v="Not Applicable"/>
    <s v="Rejected"/>
    <m/>
    <s v="Not Applicable"/>
    <m/>
    <m/>
    <m/>
    <m/>
    <x v="1"/>
    <n v="0"/>
  </r>
  <r>
    <s v="CAND0384"/>
    <s v="Ananya Agarwal"/>
    <x v="78"/>
    <x v="2"/>
    <x v="2"/>
    <x v="5"/>
    <x v="5"/>
    <x v="2"/>
    <s v="Passed"/>
    <s v="Round 1"/>
    <d v="2026-02-02T00:00:00"/>
    <s v="Completed"/>
    <s v="Selected"/>
    <d v="2026-02-06T00:00:00"/>
    <s v="Joined"/>
    <d v="2026-03-02T00:00:00"/>
    <n v="16"/>
    <n v="4"/>
    <n v="24"/>
    <x v="0"/>
    <n v="1"/>
  </r>
  <r>
    <s v="CAND0385"/>
    <s v="Karan Singh"/>
    <x v="199"/>
    <x v="2"/>
    <x v="2"/>
    <x v="1"/>
    <x v="4"/>
    <x v="4"/>
    <s v="Passed"/>
    <s v="Not Applicable"/>
    <m/>
    <s v="Not Scheduled"/>
    <s v="In Process"/>
    <m/>
    <s v="Not Applicable"/>
    <m/>
    <m/>
    <m/>
    <m/>
    <x v="2"/>
    <n v="0"/>
  </r>
  <r>
    <s v="CAND0386"/>
    <s v="Vivaan Kapoor"/>
    <x v="200"/>
    <x v="0"/>
    <x v="0"/>
    <x v="4"/>
    <x v="5"/>
    <x v="2"/>
    <s v="Passed"/>
    <s v="Round 1"/>
    <d v="2026-05-03T00:00:00"/>
    <s v="Completed"/>
    <s v="Selected"/>
    <d v="2026-05-07T00:00:00"/>
    <s v="Joined"/>
    <d v="2026-06-01T00:00:00"/>
    <n v="5"/>
    <n v="4"/>
    <n v="25"/>
    <x v="0"/>
    <n v="1"/>
  </r>
  <r>
    <s v="CAND0387"/>
    <s v="Kavya Verma"/>
    <x v="22"/>
    <x v="5"/>
    <x v="1"/>
    <x v="3"/>
    <x v="0"/>
    <x v="1"/>
    <s v="Passed"/>
    <s v="Not Applicable"/>
    <m/>
    <s v="Not Scheduled"/>
    <s v="In Process"/>
    <m/>
    <s v="Not Applicable"/>
    <m/>
    <m/>
    <m/>
    <m/>
    <x v="2"/>
    <n v="0"/>
  </r>
  <r>
    <s v="CAND0388"/>
    <s v="Arjun Rao"/>
    <x v="13"/>
    <x v="1"/>
    <x v="1"/>
    <x v="5"/>
    <x v="0"/>
    <x v="2"/>
    <s v="Passed"/>
    <s v="Round 1"/>
    <d v="2026-02-25T00:00:00"/>
    <s v="Completed"/>
    <s v="Rejected"/>
    <m/>
    <s v="Not Applicable"/>
    <m/>
    <n v="11"/>
    <m/>
    <m/>
    <x v="1"/>
    <n v="0"/>
  </r>
  <r>
    <s v="CAND0389"/>
    <s v="Priya Mehta"/>
    <x v="201"/>
    <x v="0"/>
    <x v="0"/>
    <x v="3"/>
    <x v="1"/>
    <x v="3"/>
    <s v="Passed"/>
    <s v="Not Applicable"/>
    <m/>
    <s v="Not Scheduled"/>
    <s v="In Process"/>
    <m/>
    <s v="Not Applicable"/>
    <m/>
    <m/>
    <m/>
    <m/>
    <x v="2"/>
    <n v="0"/>
  </r>
  <r>
    <s v="CAND0390"/>
    <s v="Karan Agarwal"/>
    <x v="202"/>
    <x v="0"/>
    <x v="0"/>
    <x v="1"/>
    <x v="4"/>
    <x v="4"/>
    <s v="Rejected"/>
    <s v="Not Applicable"/>
    <m/>
    <s v="Not Applicable"/>
    <s v="Rejected"/>
    <m/>
    <s v="Not Applicable"/>
    <m/>
    <m/>
    <m/>
    <m/>
    <x v="1"/>
    <n v="0"/>
  </r>
  <r>
    <s v="CAND0391"/>
    <s v="Priya Mishra"/>
    <x v="107"/>
    <x v="2"/>
    <x v="2"/>
    <x v="3"/>
    <x v="0"/>
    <x v="3"/>
    <s v="Passed"/>
    <s v="Round 1"/>
    <d v="2026-08-13T00:00:00"/>
    <s v="Completed"/>
    <s v="Rejected"/>
    <m/>
    <s v="Not Applicable"/>
    <m/>
    <n v="16"/>
    <m/>
    <m/>
    <x v="1"/>
    <n v="0"/>
  </r>
  <r>
    <s v="CAND0392"/>
    <s v="Reyansh Rao"/>
    <x v="161"/>
    <x v="0"/>
    <x v="0"/>
    <x v="1"/>
    <x v="2"/>
    <x v="2"/>
    <s v="Passed"/>
    <s v="Round 1"/>
    <d v="2026-03-16T00:00:00"/>
    <s v="Completed"/>
    <s v="Rejected"/>
    <m/>
    <s v="Not Applicable"/>
    <m/>
    <n v="11"/>
    <m/>
    <m/>
    <x v="1"/>
    <n v="0"/>
  </r>
  <r>
    <s v="CAND0393"/>
    <s v="Rohan Mehta"/>
    <x v="97"/>
    <x v="4"/>
    <x v="2"/>
    <x v="5"/>
    <x v="2"/>
    <x v="2"/>
    <s v="Passed"/>
    <s v="Round 1"/>
    <d v="2026-02-22T00:00:00"/>
    <s v="Completed"/>
    <s v="Selected"/>
    <d v="2026-02-25T00:00:00"/>
    <s v="Joined"/>
    <d v="2026-03-23T00:00:00"/>
    <n v="13"/>
    <n v="3"/>
    <n v="26"/>
    <x v="0"/>
    <n v="1"/>
  </r>
  <r>
    <s v="CAND0394"/>
    <s v="Isha Sinha"/>
    <x v="203"/>
    <x v="4"/>
    <x v="2"/>
    <x v="4"/>
    <x v="4"/>
    <x v="0"/>
    <s v="Rejected"/>
    <s v="Not Applicable"/>
    <m/>
    <s v="Not Applicable"/>
    <s v="Rejected"/>
    <m/>
    <s v="Not Applicable"/>
    <m/>
    <m/>
    <m/>
    <m/>
    <x v="1"/>
    <n v="0"/>
  </r>
  <r>
    <s v="CAND0395"/>
    <s v="Sana Malhotra"/>
    <x v="100"/>
    <x v="4"/>
    <x v="2"/>
    <x v="0"/>
    <x v="2"/>
    <x v="1"/>
    <s v="Rejected"/>
    <s v="Not Applicable"/>
    <m/>
    <s v="Not Applicable"/>
    <s v="Rejected"/>
    <m/>
    <s v="Not Applicable"/>
    <m/>
    <m/>
    <m/>
    <m/>
    <x v="1"/>
    <n v="0"/>
  </r>
  <r>
    <s v="CAND0396"/>
    <s v="Aditya Chauhan"/>
    <x v="21"/>
    <x v="5"/>
    <x v="1"/>
    <x v="4"/>
    <x v="0"/>
    <x v="0"/>
    <s v="Rejected"/>
    <s v="Not Applicable"/>
    <m/>
    <s v="Not Applicable"/>
    <s v="Rejected"/>
    <m/>
    <s v="Not Applicable"/>
    <m/>
    <m/>
    <m/>
    <m/>
    <x v="1"/>
    <n v="0"/>
  </r>
  <r>
    <s v="CAND0397"/>
    <s v="Reyansh Chauhan"/>
    <x v="10"/>
    <x v="4"/>
    <x v="2"/>
    <x v="0"/>
    <x v="2"/>
    <x v="4"/>
    <s v="Rejected"/>
    <s v="Not Applicable"/>
    <m/>
    <s v="Not Applicable"/>
    <s v="Rejected"/>
    <m/>
    <s v="Not Applicable"/>
    <m/>
    <m/>
    <m/>
    <m/>
    <x v="1"/>
    <n v="0"/>
  </r>
  <r>
    <s v="CAND0398"/>
    <s v="Rohan Rao"/>
    <x v="178"/>
    <x v="4"/>
    <x v="2"/>
    <x v="3"/>
    <x v="0"/>
    <x v="4"/>
    <s v="Rejected"/>
    <s v="Not Applicable"/>
    <m/>
    <s v="Not Applicable"/>
    <s v="Rejected"/>
    <m/>
    <s v="Not Applicable"/>
    <m/>
    <m/>
    <m/>
    <m/>
    <x v="1"/>
    <n v="0"/>
  </r>
  <r>
    <s v="CAND0399"/>
    <s v="Diya Sharma"/>
    <x v="204"/>
    <x v="3"/>
    <x v="1"/>
    <x v="0"/>
    <x v="4"/>
    <x v="2"/>
    <s v="Passed"/>
    <s v="Round 1"/>
    <d v="2026-06-05T00:00:00"/>
    <s v="Completed"/>
    <s v="Rejected"/>
    <m/>
    <s v="Not Applicable"/>
    <m/>
    <n v="16"/>
    <m/>
    <m/>
    <x v="1"/>
    <n v="0"/>
  </r>
  <r>
    <s v="CAND0400"/>
    <s v="Aditya Patel"/>
    <x v="205"/>
    <x v="0"/>
    <x v="0"/>
    <x v="4"/>
    <x v="5"/>
    <x v="1"/>
    <s v="Rejected"/>
    <s v="Not Applicable"/>
    <m/>
    <s v="Not Applicable"/>
    <s v="Rejected"/>
    <m/>
    <s v="Not Applicable"/>
    <m/>
    <m/>
    <m/>
    <m/>
    <x v="1"/>
    <n v="0"/>
  </r>
  <r>
    <s v="CAND0401"/>
    <s v="Ananya Agarwal"/>
    <x v="106"/>
    <x v="2"/>
    <x v="2"/>
    <x v="3"/>
    <x v="3"/>
    <x v="1"/>
    <s v="Passed"/>
    <s v="Not Applicable"/>
    <m/>
    <s v="Not Scheduled"/>
    <s v="In Process"/>
    <m/>
    <s v="Not Applicable"/>
    <m/>
    <m/>
    <m/>
    <m/>
    <x v="2"/>
    <n v="0"/>
  </r>
  <r>
    <s v="CAND0402"/>
    <s v="Rahul Sinha"/>
    <x v="95"/>
    <x v="4"/>
    <x v="2"/>
    <x v="1"/>
    <x v="2"/>
    <x v="4"/>
    <s v="Passed"/>
    <s v="Round 1"/>
    <d v="2026-01-08T00:00:00"/>
    <s v="Completed"/>
    <s v="Rejected"/>
    <m/>
    <s v="Not Applicable"/>
    <m/>
    <n v="5"/>
    <m/>
    <m/>
    <x v="1"/>
    <n v="0"/>
  </r>
  <r>
    <s v="CAND0403"/>
    <s v="Kavya Gupta"/>
    <x v="206"/>
    <x v="3"/>
    <x v="1"/>
    <x v="5"/>
    <x v="1"/>
    <x v="2"/>
    <s v="Passed"/>
    <s v="Round 1"/>
    <d v="2026-06-17T00:00:00"/>
    <s v="Completed"/>
    <s v="Selected"/>
    <m/>
    <s v="Not Applicable"/>
    <m/>
    <n v="15"/>
    <m/>
    <m/>
    <x v="0"/>
    <n v="1"/>
  </r>
  <r>
    <s v="CAND0404"/>
    <s v="Kavya Rao"/>
    <x v="27"/>
    <x v="0"/>
    <x v="0"/>
    <x v="1"/>
    <x v="4"/>
    <x v="3"/>
    <s v="Rejected"/>
    <s v="Not Applicable"/>
    <m/>
    <s v="Not Applicable"/>
    <s v="Rejected"/>
    <m/>
    <s v="Not Applicable"/>
    <m/>
    <m/>
    <m/>
    <m/>
    <x v="1"/>
    <n v="0"/>
  </r>
  <r>
    <s v="CAND0405"/>
    <s v="Karan Patel"/>
    <x v="170"/>
    <x v="1"/>
    <x v="1"/>
    <x v="5"/>
    <x v="0"/>
    <x v="1"/>
    <s v="Passed"/>
    <s v="Not Applicable"/>
    <m/>
    <s v="Not Scheduled"/>
    <s v="In Process"/>
    <m/>
    <s v="Not Applicable"/>
    <m/>
    <m/>
    <m/>
    <m/>
    <x v="2"/>
    <n v="0"/>
  </r>
  <r>
    <s v="CAND0406"/>
    <s v="Isha Joshi"/>
    <x v="161"/>
    <x v="0"/>
    <x v="0"/>
    <x v="4"/>
    <x v="5"/>
    <x v="2"/>
    <s v="Rejected"/>
    <s v="Not Applicable"/>
    <m/>
    <s v="Not Applicable"/>
    <s v="Rejected"/>
    <m/>
    <s v="Not Applicable"/>
    <m/>
    <m/>
    <m/>
    <m/>
    <x v="1"/>
    <n v="0"/>
  </r>
  <r>
    <s v="CAND0407"/>
    <s v="Aditya Malhotra"/>
    <x v="207"/>
    <x v="2"/>
    <x v="2"/>
    <x v="1"/>
    <x v="0"/>
    <x v="1"/>
    <s v="Rejected"/>
    <s v="Not Applicable"/>
    <m/>
    <s v="Not Applicable"/>
    <s v="Rejected"/>
    <m/>
    <s v="Not Applicable"/>
    <m/>
    <m/>
    <m/>
    <m/>
    <x v="1"/>
    <n v="0"/>
  </r>
  <r>
    <s v="CAND0408"/>
    <s v="Ananya Kapoor"/>
    <x v="59"/>
    <x v="1"/>
    <x v="1"/>
    <x v="1"/>
    <x v="2"/>
    <x v="4"/>
    <s v="Passed"/>
    <s v="Not Applicable"/>
    <m/>
    <s v="Not Scheduled"/>
    <s v="In Process"/>
    <m/>
    <s v="Not Applicable"/>
    <m/>
    <m/>
    <m/>
    <m/>
    <x v="2"/>
    <n v="0"/>
  </r>
  <r>
    <s v="CAND0409"/>
    <s v="Sana Mishra"/>
    <x v="208"/>
    <x v="0"/>
    <x v="0"/>
    <x v="4"/>
    <x v="0"/>
    <x v="4"/>
    <s v="Rejected"/>
    <s v="Not Applicable"/>
    <m/>
    <s v="Not Applicable"/>
    <s v="Rejected"/>
    <m/>
    <s v="Not Applicable"/>
    <m/>
    <m/>
    <m/>
    <m/>
    <x v="1"/>
    <n v="0"/>
  </r>
  <r>
    <s v="CAND0410"/>
    <s v="Riya Rao"/>
    <x v="199"/>
    <x v="4"/>
    <x v="2"/>
    <x v="1"/>
    <x v="1"/>
    <x v="3"/>
    <s v="Rejected"/>
    <s v="Not Applicable"/>
    <m/>
    <s v="Not Applicable"/>
    <s v="Rejected"/>
    <m/>
    <s v="Not Applicable"/>
    <m/>
    <m/>
    <m/>
    <m/>
    <x v="1"/>
    <n v="0"/>
  </r>
  <r>
    <s v="CAND0411"/>
    <s v="Meera Chauhan"/>
    <x v="105"/>
    <x v="0"/>
    <x v="0"/>
    <x v="4"/>
    <x v="2"/>
    <x v="3"/>
    <s v="Passed"/>
    <s v="Not Applicable"/>
    <m/>
    <s v="Not Scheduled"/>
    <s v="In Process"/>
    <m/>
    <s v="Not Applicable"/>
    <m/>
    <m/>
    <m/>
    <m/>
    <x v="2"/>
    <n v="0"/>
  </r>
  <r>
    <s v="CAND0412"/>
    <s v="Rahul Joshi"/>
    <x v="209"/>
    <x v="4"/>
    <x v="2"/>
    <x v="0"/>
    <x v="3"/>
    <x v="1"/>
    <s v="Passed"/>
    <s v="Round 1"/>
    <d v="2026-05-03T00:00:00"/>
    <s v="Completed"/>
    <s v="Rejected"/>
    <m/>
    <s v="Not Applicable"/>
    <m/>
    <n v="4"/>
    <m/>
    <m/>
    <x v="1"/>
    <n v="0"/>
  </r>
  <r>
    <s v="CAND0413"/>
    <s v="Reyansh Kapoor"/>
    <x v="175"/>
    <x v="0"/>
    <x v="0"/>
    <x v="4"/>
    <x v="5"/>
    <x v="3"/>
    <s v="Passed"/>
    <s v="Round 1"/>
    <d v="2026-01-17T00:00:00"/>
    <s v="Completed"/>
    <s v="Selected"/>
    <d v="2026-01-23T00:00:00"/>
    <s v="Joined"/>
    <d v="2026-02-09T00:00:00"/>
    <n v="6"/>
    <n v="6"/>
    <n v="17"/>
    <x v="0"/>
    <n v="1"/>
  </r>
  <r>
    <s v="CAND0414"/>
    <s v="Kavya Patel"/>
    <x v="64"/>
    <x v="3"/>
    <x v="1"/>
    <x v="2"/>
    <x v="2"/>
    <x v="0"/>
    <s v="Passed"/>
    <s v="Round 1"/>
    <d v="2026-08-31T00:00:00"/>
    <s v="Completed"/>
    <s v="Selected"/>
    <d v="2026-09-06T00:00:00"/>
    <s v="Joined"/>
    <d v="2026-09-19T00:00:00"/>
    <n v="7"/>
    <n v="6"/>
    <n v="13"/>
    <x v="0"/>
    <n v="1"/>
  </r>
  <r>
    <s v="CAND0415"/>
    <s v="Isha Kapoor"/>
    <x v="68"/>
    <x v="0"/>
    <x v="0"/>
    <x v="1"/>
    <x v="4"/>
    <x v="0"/>
    <s v="Passed"/>
    <s v="Not Applicable"/>
    <m/>
    <s v="Not Scheduled"/>
    <s v="In Process"/>
    <m/>
    <s v="Not Applicable"/>
    <m/>
    <m/>
    <m/>
    <m/>
    <x v="2"/>
    <n v="0"/>
  </r>
  <r>
    <s v="CAND0416"/>
    <s v="Rahul Khan"/>
    <x v="207"/>
    <x v="2"/>
    <x v="2"/>
    <x v="1"/>
    <x v="2"/>
    <x v="2"/>
    <s v="Rejected"/>
    <s v="Not Applicable"/>
    <m/>
    <s v="Not Applicable"/>
    <s v="Rejected"/>
    <m/>
    <s v="Not Applicable"/>
    <m/>
    <m/>
    <m/>
    <m/>
    <x v="1"/>
    <n v="0"/>
  </r>
  <r>
    <s v="CAND0417"/>
    <s v="Reyansh Sharma"/>
    <x v="59"/>
    <x v="3"/>
    <x v="1"/>
    <x v="2"/>
    <x v="0"/>
    <x v="2"/>
    <s v="Rejected"/>
    <s v="Not Applicable"/>
    <m/>
    <s v="Not Applicable"/>
    <s v="Rejected"/>
    <m/>
    <s v="Not Applicable"/>
    <m/>
    <m/>
    <m/>
    <m/>
    <x v="1"/>
    <n v="0"/>
  </r>
  <r>
    <s v="CAND0418"/>
    <s v="Reyansh Gupta"/>
    <x v="146"/>
    <x v="3"/>
    <x v="1"/>
    <x v="0"/>
    <x v="1"/>
    <x v="4"/>
    <s v="Rejected"/>
    <s v="Not Applicable"/>
    <m/>
    <s v="Not Applicable"/>
    <s v="Rejected"/>
    <m/>
    <s v="Not Applicable"/>
    <m/>
    <m/>
    <m/>
    <m/>
    <x v="1"/>
    <n v="0"/>
  </r>
  <r>
    <s v="CAND0419"/>
    <s v="Ishaan Mehta"/>
    <x v="174"/>
    <x v="2"/>
    <x v="2"/>
    <x v="3"/>
    <x v="1"/>
    <x v="1"/>
    <s v="Passed"/>
    <s v="Not Applicable"/>
    <m/>
    <s v="Not Scheduled"/>
    <s v="In Process"/>
    <m/>
    <s v="Not Applicable"/>
    <m/>
    <m/>
    <m/>
    <m/>
    <x v="2"/>
    <n v="0"/>
  </r>
  <r>
    <s v="CAND0420"/>
    <s v="Reyansh Sinha"/>
    <x v="20"/>
    <x v="0"/>
    <x v="0"/>
    <x v="3"/>
    <x v="0"/>
    <x v="3"/>
    <s v="Rejected"/>
    <s v="Not Applicable"/>
    <m/>
    <s v="Not Applicable"/>
    <s v="Rejected"/>
    <m/>
    <s v="Not Applicable"/>
    <m/>
    <m/>
    <m/>
    <m/>
    <x v="1"/>
    <n v="0"/>
  </r>
  <r>
    <s v="CAND0421"/>
    <s v="Reyansh Mehta"/>
    <x v="65"/>
    <x v="5"/>
    <x v="1"/>
    <x v="1"/>
    <x v="4"/>
    <x v="1"/>
    <s v="Rejected"/>
    <s v="Not Applicable"/>
    <m/>
    <s v="Not Applicable"/>
    <s v="Rejected"/>
    <m/>
    <s v="Not Applicable"/>
    <m/>
    <m/>
    <m/>
    <m/>
    <x v="1"/>
    <n v="0"/>
  </r>
  <r>
    <s v="CAND0422"/>
    <s v="Reyansh Joshi"/>
    <x v="130"/>
    <x v="3"/>
    <x v="1"/>
    <x v="0"/>
    <x v="0"/>
    <x v="0"/>
    <s v="Passed"/>
    <s v="Round 1"/>
    <d v="2026-06-25T00:00:00"/>
    <s v="Completed"/>
    <s v="Selected"/>
    <d v="2026-07-02T00:00:00"/>
    <s v="Joined"/>
    <d v="2026-07-19T00:00:00"/>
    <n v="16"/>
    <n v="7"/>
    <n v="17"/>
    <x v="0"/>
    <n v="1"/>
  </r>
  <r>
    <s v="CAND0423"/>
    <s v="Kabir Joshi"/>
    <x v="189"/>
    <x v="0"/>
    <x v="0"/>
    <x v="5"/>
    <x v="0"/>
    <x v="3"/>
    <s v="Passed"/>
    <s v="Not Applicable"/>
    <m/>
    <s v="Not Scheduled"/>
    <s v="In Process"/>
    <m/>
    <s v="Not Applicable"/>
    <m/>
    <m/>
    <m/>
    <m/>
    <x v="2"/>
    <n v="0"/>
  </r>
  <r>
    <s v="CAND0424"/>
    <s v="Kavya Sharma"/>
    <x v="210"/>
    <x v="3"/>
    <x v="1"/>
    <x v="5"/>
    <x v="0"/>
    <x v="1"/>
    <s v="Passed"/>
    <s v="Not Applicable"/>
    <m/>
    <s v="Not Scheduled"/>
    <s v="In Process"/>
    <m/>
    <s v="Not Applicable"/>
    <m/>
    <m/>
    <m/>
    <m/>
    <x v="2"/>
    <n v="0"/>
  </r>
  <r>
    <s v="CAND0425"/>
    <s v="Isha Kapoor"/>
    <x v="211"/>
    <x v="3"/>
    <x v="1"/>
    <x v="1"/>
    <x v="0"/>
    <x v="0"/>
    <s v="Passed"/>
    <s v="Round 1"/>
    <d v="2026-08-09T00:00:00"/>
    <s v="Completed"/>
    <s v="Rejected"/>
    <m/>
    <s v="Not Applicable"/>
    <m/>
    <n v="16"/>
    <m/>
    <m/>
    <x v="1"/>
    <n v="0"/>
  </r>
  <r>
    <s v="CAND0426"/>
    <s v="Riya Mishra"/>
    <x v="79"/>
    <x v="1"/>
    <x v="1"/>
    <x v="1"/>
    <x v="4"/>
    <x v="0"/>
    <s v="Passed"/>
    <s v="Not Applicable"/>
    <m/>
    <s v="Not Scheduled"/>
    <s v="In Process"/>
    <m/>
    <s v="Not Applicable"/>
    <m/>
    <m/>
    <m/>
    <m/>
    <x v="2"/>
    <n v="0"/>
  </r>
  <r>
    <s v="CAND0427"/>
    <s v="Isha Joshi"/>
    <x v="18"/>
    <x v="0"/>
    <x v="0"/>
    <x v="3"/>
    <x v="1"/>
    <x v="0"/>
    <s v="Rejected"/>
    <s v="Not Applicable"/>
    <m/>
    <s v="Not Applicable"/>
    <s v="Rejected"/>
    <m/>
    <s v="Not Applicable"/>
    <m/>
    <m/>
    <m/>
    <m/>
    <x v="1"/>
    <n v="0"/>
  </r>
  <r>
    <s v="CAND0428"/>
    <s v="Aanya Chauhan"/>
    <x v="212"/>
    <x v="4"/>
    <x v="2"/>
    <x v="4"/>
    <x v="4"/>
    <x v="4"/>
    <s v="Passed"/>
    <s v="Round 1"/>
    <d v="2026-10-09T00:00:00"/>
    <s v="Completed"/>
    <s v="Rejected"/>
    <m/>
    <s v="Not Applicable"/>
    <m/>
    <n v="13"/>
    <m/>
    <m/>
    <x v="1"/>
    <n v="0"/>
  </r>
  <r>
    <s v="CAND0429"/>
    <s v="Meera Sharma"/>
    <x v="213"/>
    <x v="2"/>
    <x v="2"/>
    <x v="1"/>
    <x v="0"/>
    <x v="1"/>
    <s v="Rejected"/>
    <s v="Not Applicable"/>
    <m/>
    <s v="Not Applicable"/>
    <s v="Rejected"/>
    <m/>
    <s v="Not Applicable"/>
    <m/>
    <m/>
    <m/>
    <m/>
    <x v="1"/>
    <n v="0"/>
  </r>
  <r>
    <s v="CAND0430"/>
    <s v="Isha Mehta"/>
    <x v="5"/>
    <x v="2"/>
    <x v="2"/>
    <x v="4"/>
    <x v="5"/>
    <x v="1"/>
    <s v="Rejected"/>
    <s v="Not Applicable"/>
    <m/>
    <s v="Not Applicable"/>
    <s v="Rejected"/>
    <m/>
    <s v="Not Applicable"/>
    <m/>
    <m/>
    <m/>
    <m/>
    <x v="1"/>
    <n v="0"/>
  </r>
  <r>
    <s v="CAND0431"/>
    <s v="Ananya Chauhan"/>
    <x v="104"/>
    <x v="1"/>
    <x v="1"/>
    <x v="1"/>
    <x v="4"/>
    <x v="2"/>
    <s v="Passed"/>
    <s v="Not Applicable"/>
    <m/>
    <s v="Not Scheduled"/>
    <s v="In Process"/>
    <m/>
    <s v="Not Applicable"/>
    <m/>
    <m/>
    <m/>
    <m/>
    <x v="2"/>
    <n v="0"/>
  </r>
  <r>
    <s v="CAND0432"/>
    <s v="Nisha Patel"/>
    <x v="38"/>
    <x v="2"/>
    <x v="2"/>
    <x v="0"/>
    <x v="1"/>
    <x v="2"/>
    <s v="Passed"/>
    <s v="Not Applicable"/>
    <m/>
    <s v="Not Scheduled"/>
    <s v="In Process"/>
    <m/>
    <s v="Not Applicable"/>
    <m/>
    <m/>
    <m/>
    <m/>
    <x v="2"/>
    <n v="0"/>
  </r>
  <r>
    <s v="CAND0433"/>
    <s v="Vivaan Patel"/>
    <x v="214"/>
    <x v="0"/>
    <x v="0"/>
    <x v="2"/>
    <x v="0"/>
    <x v="4"/>
    <s v="Passed"/>
    <s v="Round 1"/>
    <d v="2026-07-28T00:00:00"/>
    <s v="Completed"/>
    <s v="Selected"/>
    <d v="2026-08-01T00:00:00"/>
    <s v="Joined"/>
    <d v="2026-08-16T00:00:00"/>
    <n v="9"/>
    <n v="4"/>
    <n v="15"/>
    <x v="0"/>
    <n v="1"/>
  </r>
  <r>
    <s v="CAND0434"/>
    <s v="Sana Agarwal"/>
    <x v="209"/>
    <x v="4"/>
    <x v="2"/>
    <x v="2"/>
    <x v="1"/>
    <x v="4"/>
    <s v="Passed"/>
    <s v="Not Applicable"/>
    <m/>
    <s v="Not Scheduled"/>
    <s v="In Process"/>
    <m/>
    <s v="Not Applicable"/>
    <m/>
    <m/>
    <m/>
    <m/>
    <x v="2"/>
    <n v="0"/>
  </r>
  <r>
    <s v="CAND0435"/>
    <s v="Rahul Verma"/>
    <x v="215"/>
    <x v="3"/>
    <x v="1"/>
    <x v="0"/>
    <x v="5"/>
    <x v="1"/>
    <s v="Passed"/>
    <s v="Round 1"/>
    <d v="2026-04-19T00:00:00"/>
    <s v="Completed"/>
    <s v="Rejected"/>
    <m/>
    <s v="Not Applicable"/>
    <m/>
    <n v="4"/>
    <m/>
    <m/>
    <x v="1"/>
    <n v="0"/>
  </r>
  <r>
    <s v="CAND0436"/>
    <s v="Vivaan Singh"/>
    <x v="216"/>
    <x v="1"/>
    <x v="1"/>
    <x v="2"/>
    <x v="0"/>
    <x v="1"/>
    <s v="Passed"/>
    <s v="Round 1"/>
    <d v="2026-04-17T00:00:00"/>
    <s v="Completed"/>
    <s v="Selected"/>
    <d v="2026-04-24T00:00:00"/>
    <s v="Joined"/>
    <d v="2026-05-16T00:00:00"/>
    <n v="10"/>
    <n v="7"/>
    <n v="22"/>
    <x v="0"/>
    <n v="1"/>
  </r>
  <r>
    <s v="CAND0437"/>
    <s v="Rahul Singh"/>
    <x v="217"/>
    <x v="2"/>
    <x v="2"/>
    <x v="5"/>
    <x v="0"/>
    <x v="1"/>
    <s v="Rejected"/>
    <s v="Not Applicable"/>
    <m/>
    <s v="Not Applicable"/>
    <s v="Rejected"/>
    <m/>
    <s v="Not Applicable"/>
    <m/>
    <m/>
    <m/>
    <m/>
    <x v="1"/>
    <n v="0"/>
  </r>
  <r>
    <s v="CAND0438"/>
    <s v="Kavya Gupta"/>
    <x v="112"/>
    <x v="0"/>
    <x v="0"/>
    <x v="4"/>
    <x v="4"/>
    <x v="3"/>
    <s v="Passed"/>
    <s v="Round 1"/>
    <d v="2026-06-06T00:00:00"/>
    <s v="Completed"/>
    <s v="Rejected"/>
    <m/>
    <s v="Not Applicable"/>
    <m/>
    <n v="5"/>
    <m/>
    <m/>
    <x v="1"/>
    <n v="0"/>
  </r>
  <r>
    <s v="CAND0439"/>
    <s v="Aditya Agarwal"/>
    <x v="204"/>
    <x v="1"/>
    <x v="1"/>
    <x v="3"/>
    <x v="5"/>
    <x v="4"/>
    <s v="Passed"/>
    <s v="Not Applicable"/>
    <m/>
    <s v="Not Scheduled"/>
    <s v="In Process"/>
    <m/>
    <s v="Not Applicable"/>
    <m/>
    <m/>
    <m/>
    <m/>
    <x v="2"/>
    <n v="0"/>
  </r>
  <r>
    <s v="CAND0440"/>
    <s v="Isha Gupta"/>
    <x v="176"/>
    <x v="5"/>
    <x v="1"/>
    <x v="4"/>
    <x v="2"/>
    <x v="0"/>
    <s v="Passed"/>
    <s v="Round 1"/>
    <d v="2026-06-11T00:00:00"/>
    <s v="Completed"/>
    <s v="Rejected"/>
    <m/>
    <s v="Not Applicable"/>
    <m/>
    <n v="13"/>
    <m/>
    <m/>
    <x v="1"/>
    <n v="0"/>
  </r>
  <r>
    <s v="CAND0441"/>
    <s v="Aditya Kapoor"/>
    <x v="89"/>
    <x v="2"/>
    <x v="2"/>
    <x v="1"/>
    <x v="0"/>
    <x v="4"/>
    <s v="Passed"/>
    <s v="Round 1"/>
    <d v="2026-01-31T00:00:00"/>
    <s v="Completed"/>
    <s v="Selected"/>
    <d v="2026-02-07T00:00:00"/>
    <s v="Joined"/>
    <d v="2026-02-24T00:00:00"/>
    <n v="6"/>
    <n v="7"/>
    <n v="17"/>
    <x v="0"/>
    <n v="1"/>
  </r>
  <r>
    <s v="CAND0442"/>
    <s v="Kabir Agarwal"/>
    <x v="166"/>
    <x v="4"/>
    <x v="2"/>
    <x v="4"/>
    <x v="3"/>
    <x v="3"/>
    <s v="Rejected"/>
    <s v="Not Applicable"/>
    <m/>
    <s v="Not Applicable"/>
    <s v="Rejected"/>
    <m/>
    <s v="Not Applicable"/>
    <m/>
    <m/>
    <m/>
    <m/>
    <x v="1"/>
    <n v="0"/>
  </r>
  <r>
    <s v="CAND0443"/>
    <s v="Vivaan Sharma"/>
    <x v="218"/>
    <x v="2"/>
    <x v="2"/>
    <x v="4"/>
    <x v="5"/>
    <x v="0"/>
    <s v="Passed"/>
    <s v="Not Applicable"/>
    <m/>
    <s v="Not Scheduled"/>
    <s v="In Process"/>
    <m/>
    <s v="Not Applicable"/>
    <m/>
    <m/>
    <m/>
    <m/>
    <x v="2"/>
    <n v="0"/>
  </r>
  <r>
    <s v="CAND0444"/>
    <s v="Reyansh Chauhan"/>
    <x v="128"/>
    <x v="4"/>
    <x v="2"/>
    <x v="4"/>
    <x v="2"/>
    <x v="2"/>
    <s v="Rejected"/>
    <s v="Not Applicable"/>
    <m/>
    <s v="Not Applicable"/>
    <s v="Rejected"/>
    <m/>
    <s v="Not Applicable"/>
    <m/>
    <m/>
    <m/>
    <m/>
    <x v="1"/>
    <n v="0"/>
  </r>
  <r>
    <s v="CAND0445"/>
    <s v="Aarav Sharma"/>
    <x v="219"/>
    <x v="1"/>
    <x v="1"/>
    <x v="5"/>
    <x v="0"/>
    <x v="0"/>
    <s v="Passed"/>
    <s v="Round 1"/>
    <d v="2026-08-17T00:00:00"/>
    <s v="Completed"/>
    <s v="Selected"/>
    <d v="2026-08-23T00:00:00"/>
    <s v="Joined"/>
    <d v="2026-09-16T00:00:00"/>
    <n v="9"/>
    <n v="6"/>
    <n v="24"/>
    <x v="0"/>
    <n v="1"/>
  </r>
  <r>
    <s v="CAND0446"/>
    <s v="Riya Kapoor"/>
    <x v="56"/>
    <x v="4"/>
    <x v="2"/>
    <x v="0"/>
    <x v="5"/>
    <x v="4"/>
    <s v="Passed"/>
    <s v="Not Applicable"/>
    <m/>
    <s v="Not Scheduled"/>
    <s v="In Process"/>
    <m/>
    <s v="Not Applicable"/>
    <m/>
    <m/>
    <m/>
    <m/>
    <x v="2"/>
    <n v="0"/>
  </r>
  <r>
    <s v="CAND0447"/>
    <s v="Riya Joshi"/>
    <x v="2"/>
    <x v="0"/>
    <x v="0"/>
    <x v="4"/>
    <x v="5"/>
    <x v="4"/>
    <s v="Rejected"/>
    <s v="Not Applicable"/>
    <m/>
    <s v="Not Applicable"/>
    <s v="Rejected"/>
    <m/>
    <s v="Not Applicable"/>
    <m/>
    <m/>
    <m/>
    <m/>
    <x v="1"/>
    <n v="0"/>
  </r>
  <r>
    <s v="CAND0448"/>
    <s v="Rohan Khan"/>
    <x v="113"/>
    <x v="4"/>
    <x v="2"/>
    <x v="4"/>
    <x v="0"/>
    <x v="0"/>
    <s v="Passed"/>
    <s v="Round 1"/>
    <d v="2026-09-25T00:00:00"/>
    <s v="Completed"/>
    <s v="Rejected"/>
    <m/>
    <s v="Not Applicable"/>
    <m/>
    <n v="6"/>
    <m/>
    <m/>
    <x v="1"/>
    <n v="0"/>
  </r>
  <r>
    <s v="CAND0449"/>
    <s v="Kavya Gupta"/>
    <x v="220"/>
    <x v="4"/>
    <x v="2"/>
    <x v="4"/>
    <x v="1"/>
    <x v="0"/>
    <s v="Passed"/>
    <s v="Round 1"/>
    <d v="2026-03-04T00:00:00"/>
    <s v="Completed"/>
    <s v="Rejected"/>
    <m/>
    <s v="Not Applicable"/>
    <m/>
    <n v="5"/>
    <m/>
    <m/>
    <x v="1"/>
    <n v="0"/>
  </r>
  <r>
    <s v="CAND0450"/>
    <s v="Aditya Sharma"/>
    <x v="38"/>
    <x v="1"/>
    <x v="1"/>
    <x v="4"/>
    <x v="2"/>
    <x v="1"/>
    <s v="Passed"/>
    <s v="Round 1"/>
    <d v="2026-10-15T00:00:00"/>
    <s v="Completed"/>
    <s v="Rejected"/>
    <m/>
    <s v="Not Applicable"/>
    <m/>
    <n v="15"/>
    <m/>
    <m/>
    <x v="1"/>
    <n v="0"/>
  </r>
  <r>
    <s v="CAND0451"/>
    <s v="Kavya Sharma"/>
    <x v="173"/>
    <x v="4"/>
    <x v="2"/>
    <x v="4"/>
    <x v="3"/>
    <x v="0"/>
    <s v="Passed"/>
    <s v="Not Applicable"/>
    <m/>
    <s v="Not Scheduled"/>
    <s v="In Process"/>
    <m/>
    <s v="Not Applicable"/>
    <m/>
    <m/>
    <m/>
    <m/>
    <x v="2"/>
    <n v="0"/>
  </r>
  <r>
    <s v="CAND0452"/>
    <s v="Riya Malhotra"/>
    <x v="221"/>
    <x v="5"/>
    <x v="1"/>
    <x v="3"/>
    <x v="4"/>
    <x v="1"/>
    <s v="Rejected"/>
    <s v="Not Applicable"/>
    <m/>
    <s v="Not Applicable"/>
    <s v="Rejected"/>
    <m/>
    <s v="Not Applicable"/>
    <m/>
    <m/>
    <m/>
    <m/>
    <x v="1"/>
    <n v="0"/>
  </r>
  <r>
    <s v="CAND0453"/>
    <s v="Reyansh Kapoor"/>
    <x v="2"/>
    <x v="2"/>
    <x v="2"/>
    <x v="1"/>
    <x v="0"/>
    <x v="2"/>
    <s v="Rejected"/>
    <s v="Not Applicable"/>
    <m/>
    <s v="Not Applicable"/>
    <s v="Rejected"/>
    <m/>
    <s v="Not Applicable"/>
    <m/>
    <m/>
    <m/>
    <m/>
    <x v="1"/>
    <n v="0"/>
  </r>
  <r>
    <s v="CAND0454"/>
    <s v="Rahul Sinha"/>
    <x v="186"/>
    <x v="0"/>
    <x v="0"/>
    <x v="4"/>
    <x v="3"/>
    <x v="1"/>
    <s v="Rejected"/>
    <s v="Not Applicable"/>
    <m/>
    <s v="Not Applicable"/>
    <s v="Rejected"/>
    <m/>
    <s v="Not Applicable"/>
    <m/>
    <m/>
    <m/>
    <m/>
    <x v="1"/>
    <n v="0"/>
  </r>
  <r>
    <s v="CAND0455"/>
    <s v="Kabir Joshi"/>
    <x v="144"/>
    <x v="4"/>
    <x v="2"/>
    <x v="2"/>
    <x v="4"/>
    <x v="1"/>
    <s v="Passed"/>
    <s v="Not Applicable"/>
    <m/>
    <s v="Not Scheduled"/>
    <s v="In Process"/>
    <m/>
    <s v="Not Applicable"/>
    <m/>
    <m/>
    <m/>
    <m/>
    <x v="2"/>
    <n v="0"/>
  </r>
  <r>
    <s v="CAND0456"/>
    <s v="Reyansh Agarwal"/>
    <x v="43"/>
    <x v="3"/>
    <x v="1"/>
    <x v="0"/>
    <x v="0"/>
    <x v="2"/>
    <s v="Rejected"/>
    <s v="Not Applicable"/>
    <m/>
    <s v="Not Applicable"/>
    <s v="Rejected"/>
    <m/>
    <s v="Not Applicable"/>
    <m/>
    <m/>
    <m/>
    <m/>
    <x v="1"/>
    <n v="0"/>
  </r>
  <r>
    <s v="CAND0457"/>
    <s v="Rahul Rao"/>
    <x v="82"/>
    <x v="3"/>
    <x v="1"/>
    <x v="4"/>
    <x v="2"/>
    <x v="3"/>
    <s v="Rejected"/>
    <s v="Not Applicable"/>
    <m/>
    <s v="Not Applicable"/>
    <s v="Rejected"/>
    <m/>
    <s v="Not Applicable"/>
    <m/>
    <m/>
    <m/>
    <m/>
    <x v="1"/>
    <n v="0"/>
  </r>
  <r>
    <s v="CAND0458"/>
    <s v="Rohan Singh"/>
    <x v="82"/>
    <x v="1"/>
    <x v="1"/>
    <x v="3"/>
    <x v="5"/>
    <x v="0"/>
    <s v="Rejected"/>
    <s v="Not Applicable"/>
    <m/>
    <s v="Not Applicable"/>
    <s v="Rejected"/>
    <m/>
    <s v="Not Applicable"/>
    <m/>
    <m/>
    <m/>
    <m/>
    <x v="1"/>
    <n v="0"/>
  </r>
  <r>
    <s v="CAND0459"/>
    <s v="Aditya Mehta"/>
    <x v="22"/>
    <x v="2"/>
    <x v="2"/>
    <x v="1"/>
    <x v="5"/>
    <x v="0"/>
    <s v="Rejected"/>
    <s v="Not Applicable"/>
    <m/>
    <s v="Not Applicable"/>
    <s v="Rejected"/>
    <m/>
    <s v="Not Applicable"/>
    <m/>
    <m/>
    <m/>
    <m/>
    <x v="1"/>
    <n v="0"/>
  </r>
  <r>
    <s v="CAND0460"/>
    <s v="Meera Gupta"/>
    <x v="70"/>
    <x v="4"/>
    <x v="2"/>
    <x v="4"/>
    <x v="4"/>
    <x v="4"/>
    <s v="Passed"/>
    <s v="Round 1"/>
    <d v="2026-03-25T00:00:00"/>
    <s v="Completed"/>
    <s v="Rejected"/>
    <m/>
    <s v="Not Applicable"/>
    <m/>
    <n v="8"/>
    <m/>
    <m/>
    <x v="1"/>
    <n v="0"/>
  </r>
  <r>
    <s v="CAND0461"/>
    <s v="Rahul Mehta"/>
    <x v="50"/>
    <x v="1"/>
    <x v="1"/>
    <x v="4"/>
    <x v="4"/>
    <x v="4"/>
    <s v="Rejected"/>
    <s v="Not Applicable"/>
    <m/>
    <s v="Not Applicable"/>
    <s v="Rejected"/>
    <m/>
    <s v="Not Applicable"/>
    <m/>
    <m/>
    <m/>
    <m/>
    <x v="1"/>
    <n v="0"/>
  </r>
  <r>
    <s v="CAND0462"/>
    <s v="Vivaan Malhotra"/>
    <x v="69"/>
    <x v="2"/>
    <x v="2"/>
    <x v="3"/>
    <x v="0"/>
    <x v="1"/>
    <s v="Passed"/>
    <s v="Round 1"/>
    <d v="2026-04-14T00:00:00"/>
    <s v="Completed"/>
    <s v="Selected"/>
    <d v="2026-04-16T00:00:00"/>
    <s v="Offer Declined"/>
    <m/>
    <n v="10"/>
    <n v="2"/>
    <m/>
    <x v="0"/>
    <n v="1"/>
  </r>
  <r>
    <s v="CAND0463"/>
    <s v="Riya Patel"/>
    <x v="222"/>
    <x v="5"/>
    <x v="1"/>
    <x v="4"/>
    <x v="0"/>
    <x v="4"/>
    <s v="Passed"/>
    <s v="Not Applicable"/>
    <m/>
    <s v="Not Scheduled"/>
    <s v="In Process"/>
    <m/>
    <s v="Not Applicable"/>
    <m/>
    <m/>
    <m/>
    <m/>
    <x v="2"/>
    <n v="0"/>
  </r>
  <r>
    <s v="CAND0464"/>
    <s v="Ishaan Chauhan"/>
    <x v="203"/>
    <x v="2"/>
    <x v="2"/>
    <x v="2"/>
    <x v="1"/>
    <x v="2"/>
    <s v="Passed"/>
    <s v="Round 1"/>
    <d v="2026-09-07T00:00:00"/>
    <s v="Completed"/>
    <s v="Rejected"/>
    <m/>
    <s v="Not Applicable"/>
    <m/>
    <n v="11"/>
    <m/>
    <m/>
    <x v="1"/>
    <n v="0"/>
  </r>
  <r>
    <s v="CAND0465"/>
    <s v="Aanya Khan"/>
    <x v="71"/>
    <x v="2"/>
    <x v="2"/>
    <x v="0"/>
    <x v="5"/>
    <x v="4"/>
    <s v="Passed"/>
    <s v="Round 1"/>
    <d v="2026-03-11T00:00:00"/>
    <s v="Completed"/>
    <s v="Selected"/>
    <d v="2026-03-16T00:00:00"/>
    <s v="Joined"/>
    <d v="2026-04-09T00:00:00"/>
    <n v="7"/>
    <n v="5"/>
    <n v="24"/>
    <x v="0"/>
    <n v="1"/>
  </r>
  <r>
    <s v="CAND0466"/>
    <s v="Aditya Chauhan"/>
    <x v="17"/>
    <x v="2"/>
    <x v="2"/>
    <x v="4"/>
    <x v="4"/>
    <x v="1"/>
    <s v="Rejected"/>
    <s v="Not Applicable"/>
    <m/>
    <s v="Not Applicable"/>
    <s v="Rejected"/>
    <m/>
    <s v="Not Applicable"/>
    <m/>
    <m/>
    <m/>
    <m/>
    <x v="1"/>
    <n v="0"/>
  </r>
  <r>
    <s v="CAND0467"/>
    <s v="Sana Sinha"/>
    <x v="123"/>
    <x v="4"/>
    <x v="2"/>
    <x v="4"/>
    <x v="1"/>
    <x v="0"/>
    <s v="Rejected"/>
    <s v="Not Applicable"/>
    <m/>
    <s v="Not Applicable"/>
    <s v="Rejected"/>
    <m/>
    <s v="Not Applicable"/>
    <m/>
    <m/>
    <m/>
    <m/>
    <x v="1"/>
    <n v="0"/>
  </r>
  <r>
    <s v="CAND0468"/>
    <s v="Vivaan Sinha"/>
    <x v="151"/>
    <x v="0"/>
    <x v="0"/>
    <x v="2"/>
    <x v="5"/>
    <x v="2"/>
    <s v="Passed"/>
    <s v="Round 1"/>
    <d v="2026-06-07T00:00:00"/>
    <s v="Completed"/>
    <s v="Rejected"/>
    <m/>
    <s v="Not Applicable"/>
    <m/>
    <n v="10"/>
    <m/>
    <m/>
    <x v="1"/>
    <n v="0"/>
  </r>
  <r>
    <s v="CAND0469"/>
    <s v="Kavya Khan"/>
    <x v="185"/>
    <x v="3"/>
    <x v="1"/>
    <x v="2"/>
    <x v="5"/>
    <x v="4"/>
    <s v="Passed"/>
    <s v="Round 1"/>
    <d v="2026-08-21T00:00:00"/>
    <s v="Completed"/>
    <s v="Selected"/>
    <d v="2026-08-26T00:00:00"/>
    <s v="Joined"/>
    <d v="2026-09-22T00:00:00"/>
    <n v="12"/>
    <n v="5"/>
    <n v="27"/>
    <x v="0"/>
    <n v="1"/>
  </r>
  <r>
    <s v="CAND0470"/>
    <s v="Rahul Chauhan"/>
    <x v="58"/>
    <x v="4"/>
    <x v="2"/>
    <x v="4"/>
    <x v="0"/>
    <x v="1"/>
    <s v="Passed"/>
    <s v="Not Applicable"/>
    <m/>
    <s v="Not Scheduled"/>
    <s v="In Process"/>
    <m/>
    <s v="Not Applicable"/>
    <m/>
    <m/>
    <m/>
    <m/>
    <x v="2"/>
    <n v="0"/>
  </r>
  <r>
    <s v="CAND0471"/>
    <s v="Nisha Chauhan"/>
    <x v="179"/>
    <x v="2"/>
    <x v="2"/>
    <x v="2"/>
    <x v="0"/>
    <x v="3"/>
    <s v="Rejected"/>
    <s v="Not Applicable"/>
    <m/>
    <s v="Not Applicable"/>
    <s v="Rejected"/>
    <m/>
    <s v="Not Applicable"/>
    <m/>
    <m/>
    <m/>
    <m/>
    <x v="1"/>
    <n v="0"/>
  </r>
  <r>
    <s v="CAND0472"/>
    <s v="Ishaan Khan"/>
    <x v="105"/>
    <x v="0"/>
    <x v="0"/>
    <x v="1"/>
    <x v="5"/>
    <x v="2"/>
    <s v="Passed"/>
    <s v="Round 1"/>
    <d v="2026-07-17T00:00:00"/>
    <s v="Completed"/>
    <s v="Rejected"/>
    <m/>
    <s v="Not Applicable"/>
    <m/>
    <n v="17"/>
    <m/>
    <m/>
    <x v="1"/>
    <n v="0"/>
  </r>
  <r>
    <s v="CAND0473"/>
    <s v="Aarav Chauhan"/>
    <x v="94"/>
    <x v="3"/>
    <x v="1"/>
    <x v="4"/>
    <x v="0"/>
    <x v="2"/>
    <s v="Passed"/>
    <s v="Round 1"/>
    <d v="2026-05-01T00:00:00"/>
    <s v="Completed"/>
    <s v="Rejected"/>
    <m/>
    <s v="Not Applicable"/>
    <m/>
    <n v="14"/>
    <m/>
    <m/>
    <x v="1"/>
    <n v="0"/>
  </r>
  <r>
    <s v="CAND0474"/>
    <s v="Aanya Singh"/>
    <x v="105"/>
    <x v="0"/>
    <x v="0"/>
    <x v="5"/>
    <x v="0"/>
    <x v="1"/>
    <s v="Passed"/>
    <s v="Round 1"/>
    <d v="2026-07-06T00:00:00"/>
    <s v="Completed"/>
    <s v="Selected"/>
    <m/>
    <s v="Not Applicable"/>
    <m/>
    <n v="6"/>
    <m/>
    <m/>
    <x v="0"/>
    <n v="1"/>
  </r>
  <r>
    <s v="CAND0475"/>
    <s v="Rahul Malhotra"/>
    <x v="197"/>
    <x v="4"/>
    <x v="2"/>
    <x v="1"/>
    <x v="4"/>
    <x v="1"/>
    <s v="Passed"/>
    <s v="Not Applicable"/>
    <m/>
    <s v="Not Scheduled"/>
    <s v="In Process"/>
    <m/>
    <s v="Not Applicable"/>
    <m/>
    <m/>
    <m/>
    <m/>
    <x v="2"/>
    <n v="0"/>
  </r>
  <r>
    <s v="CAND0476"/>
    <s v="Diya Patel"/>
    <x v="223"/>
    <x v="4"/>
    <x v="2"/>
    <x v="4"/>
    <x v="4"/>
    <x v="0"/>
    <s v="Rejected"/>
    <s v="Not Applicable"/>
    <m/>
    <s v="Not Applicable"/>
    <s v="Rejected"/>
    <m/>
    <s v="Not Applicable"/>
    <m/>
    <m/>
    <m/>
    <m/>
    <x v="1"/>
    <n v="0"/>
  </r>
  <r>
    <s v="CAND0477"/>
    <s v="Aanya Agarwal"/>
    <x v="189"/>
    <x v="0"/>
    <x v="0"/>
    <x v="3"/>
    <x v="0"/>
    <x v="2"/>
    <s v="Passed"/>
    <s v="Round 1"/>
    <d v="2026-07-16T00:00:00"/>
    <s v="Completed"/>
    <s v="Rejected"/>
    <m/>
    <s v="Not Applicable"/>
    <m/>
    <n v="12"/>
    <m/>
    <m/>
    <x v="1"/>
    <n v="0"/>
  </r>
  <r>
    <s v="CAND0478"/>
    <s v="Nisha Malhotra"/>
    <x v="86"/>
    <x v="4"/>
    <x v="2"/>
    <x v="0"/>
    <x v="2"/>
    <x v="1"/>
    <s v="Rejected"/>
    <s v="Not Applicable"/>
    <m/>
    <s v="Not Applicable"/>
    <s v="Rejected"/>
    <m/>
    <s v="Not Applicable"/>
    <m/>
    <m/>
    <m/>
    <m/>
    <x v="1"/>
    <n v="0"/>
  </r>
  <r>
    <s v="CAND0479"/>
    <s v="Sana Sinha"/>
    <x v="221"/>
    <x v="2"/>
    <x v="2"/>
    <x v="3"/>
    <x v="5"/>
    <x v="2"/>
    <s v="Passed"/>
    <s v="Not Applicable"/>
    <m/>
    <s v="Not Scheduled"/>
    <s v="In Process"/>
    <m/>
    <s v="Not Applicable"/>
    <m/>
    <m/>
    <m/>
    <m/>
    <x v="2"/>
    <n v="0"/>
  </r>
  <r>
    <s v="CAND0480"/>
    <s v="Isha Chauhan"/>
    <x v="76"/>
    <x v="2"/>
    <x v="2"/>
    <x v="2"/>
    <x v="1"/>
    <x v="2"/>
    <s v="Passed"/>
    <s v="Round 1"/>
    <d v="2026-04-27T00:00:00"/>
    <s v="Completed"/>
    <s v="Rejected"/>
    <m/>
    <s v="Not Applicable"/>
    <m/>
    <n v="7"/>
    <m/>
    <m/>
    <x v="1"/>
    <n v="0"/>
  </r>
  <r>
    <s v="CAND0481"/>
    <s v="Riya Rao"/>
    <x v="6"/>
    <x v="3"/>
    <x v="1"/>
    <x v="1"/>
    <x v="2"/>
    <x v="3"/>
    <s v="Passed"/>
    <s v="Not Applicable"/>
    <m/>
    <s v="Not Scheduled"/>
    <s v="In Process"/>
    <m/>
    <s v="Not Applicable"/>
    <m/>
    <m/>
    <m/>
    <m/>
    <x v="2"/>
    <n v="0"/>
  </r>
  <r>
    <s v="CAND0482"/>
    <s v="Isha Chauhan"/>
    <x v="176"/>
    <x v="4"/>
    <x v="2"/>
    <x v="4"/>
    <x v="1"/>
    <x v="1"/>
    <s v="Passed"/>
    <s v="Round 1"/>
    <d v="2026-06-08T00:00:00"/>
    <s v="Completed"/>
    <s v="Rejected"/>
    <m/>
    <s v="Not Applicable"/>
    <m/>
    <n v="10"/>
    <m/>
    <m/>
    <x v="1"/>
    <n v="0"/>
  </r>
  <r>
    <s v="CAND0483"/>
    <s v="Isha Chauhan"/>
    <x v="5"/>
    <x v="1"/>
    <x v="1"/>
    <x v="1"/>
    <x v="1"/>
    <x v="0"/>
    <s v="Passed"/>
    <s v="Round 1"/>
    <d v="2026-02-27T00:00:00"/>
    <s v="Completed"/>
    <s v="Rejected"/>
    <m/>
    <s v="Not Applicable"/>
    <m/>
    <n v="14"/>
    <m/>
    <m/>
    <x v="1"/>
    <n v="0"/>
  </r>
  <r>
    <s v="CAND0484"/>
    <s v="Sana Singh"/>
    <x v="35"/>
    <x v="2"/>
    <x v="2"/>
    <x v="2"/>
    <x v="4"/>
    <x v="3"/>
    <s v="Passed"/>
    <s v="Round 1"/>
    <d v="2026-02-28T00:00:00"/>
    <s v="Completed"/>
    <s v="Rejected"/>
    <m/>
    <s v="Not Applicable"/>
    <m/>
    <n v="16"/>
    <m/>
    <m/>
    <x v="1"/>
    <n v="0"/>
  </r>
  <r>
    <s v="CAND0485"/>
    <s v="Reyansh Mishra"/>
    <x v="75"/>
    <x v="5"/>
    <x v="1"/>
    <x v="1"/>
    <x v="0"/>
    <x v="2"/>
    <s v="Rejected"/>
    <s v="Not Applicable"/>
    <m/>
    <s v="Not Applicable"/>
    <s v="Rejected"/>
    <m/>
    <s v="Not Applicable"/>
    <m/>
    <m/>
    <m/>
    <m/>
    <x v="1"/>
    <n v="0"/>
  </r>
  <r>
    <s v="CAND0486"/>
    <s v="Aditya Gupta"/>
    <x v="119"/>
    <x v="3"/>
    <x v="1"/>
    <x v="4"/>
    <x v="0"/>
    <x v="3"/>
    <s v="Passed"/>
    <s v="Not Applicable"/>
    <m/>
    <s v="Not Scheduled"/>
    <s v="In Process"/>
    <m/>
    <s v="Not Applicable"/>
    <m/>
    <m/>
    <m/>
    <m/>
    <x v="2"/>
    <n v="0"/>
  </r>
  <r>
    <s v="CAND0487"/>
    <s v="Riya Singh"/>
    <x v="152"/>
    <x v="5"/>
    <x v="1"/>
    <x v="1"/>
    <x v="5"/>
    <x v="4"/>
    <s v="Passed"/>
    <s v="Round 1"/>
    <d v="2026-03-03T00:00:00"/>
    <s v="Completed"/>
    <s v="Rejected"/>
    <m/>
    <s v="Not Applicable"/>
    <m/>
    <n v="16"/>
    <m/>
    <m/>
    <x v="1"/>
    <n v="0"/>
  </r>
  <r>
    <s v="CAND0488"/>
    <s v="Sana Mehta"/>
    <x v="21"/>
    <x v="4"/>
    <x v="2"/>
    <x v="1"/>
    <x v="0"/>
    <x v="1"/>
    <s v="Rejected"/>
    <s v="Not Applicable"/>
    <m/>
    <s v="Not Applicable"/>
    <s v="Rejected"/>
    <m/>
    <s v="Not Applicable"/>
    <m/>
    <m/>
    <m/>
    <m/>
    <x v="1"/>
    <n v="0"/>
  </r>
  <r>
    <s v="CAND0489"/>
    <s v="Diya Malhotra"/>
    <x v="160"/>
    <x v="1"/>
    <x v="1"/>
    <x v="3"/>
    <x v="1"/>
    <x v="0"/>
    <s v="Rejected"/>
    <s v="Not Applicable"/>
    <m/>
    <s v="Not Applicable"/>
    <s v="Rejected"/>
    <m/>
    <s v="Not Applicable"/>
    <m/>
    <m/>
    <m/>
    <m/>
    <x v="1"/>
    <n v="0"/>
  </r>
  <r>
    <s v="CAND0490"/>
    <s v="Ananya Sinha"/>
    <x v="109"/>
    <x v="3"/>
    <x v="1"/>
    <x v="0"/>
    <x v="1"/>
    <x v="3"/>
    <s v="Passed"/>
    <s v="Round 1"/>
    <d v="2026-04-02T00:00:00"/>
    <s v="Completed"/>
    <s v="Rejected"/>
    <m/>
    <s v="Not Applicable"/>
    <m/>
    <n v="6"/>
    <m/>
    <m/>
    <x v="1"/>
    <n v="0"/>
  </r>
  <r>
    <s v="CAND0491"/>
    <s v="Nisha Patel"/>
    <x v="77"/>
    <x v="2"/>
    <x v="2"/>
    <x v="4"/>
    <x v="0"/>
    <x v="1"/>
    <s v="Passed"/>
    <s v="Round 1"/>
    <d v="2026-05-22T00:00:00"/>
    <s v="Completed"/>
    <s v="Selected"/>
    <d v="2026-05-26T00:00:00"/>
    <s v="Offer Declined"/>
    <m/>
    <n v="5"/>
    <n v="4"/>
    <m/>
    <x v="0"/>
    <n v="1"/>
  </r>
  <r>
    <s v="CAND0492"/>
    <s v="Ishaan Rao"/>
    <x v="144"/>
    <x v="4"/>
    <x v="2"/>
    <x v="5"/>
    <x v="0"/>
    <x v="3"/>
    <s v="Passed"/>
    <s v="Not Applicable"/>
    <m/>
    <s v="Not Scheduled"/>
    <s v="In Process"/>
    <m/>
    <s v="Not Applicable"/>
    <m/>
    <m/>
    <m/>
    <m/>
    <x v="2"/>
    <n v="0"/>
  </r>
  <r>
    <s v="CAND0493"/>
    <s v="Ananya Sharma"/>
    <x v="62"/>
    <x v="0"/>
    <x v="0"/>
    <x v="5"/>
    <x v="5"/>
    <x v="0"/>
    <s v="Passed"/>
    <s v="Round 1"/>
    <d v="2026-06-15T00:00:00"/>
    <s v="Completed"/>
    <s v="Selected"/>
    <d v="2026-06-20T00:00:00"/>
    <s v="Joined"/>
    <d v="2026-07-03T00:00:00"/>
    <n v="12"/>
    <n v="5"/>
    <n v="13"/>
    <x v="0"/>
    <n v="1"/>
  </r>
  <r>
    <s v="CAND0494"/>
    <s v="Nisha Sharma"/>
    <x v="83"/>
    <x v="5"/>
    <x v="1"/>
    <x v="5"/>
    <x v="5"/>
    <x v="0"/>
    <s v="Passed"/>
    <s v="Round 1"/>
    <d v="2026-01-20T00:00:00"/>
    <s v="Completed"/>
    <s v="Rejected"/>
    <m/>
    <s v="Not Applicable"/>
    <m/>
    <n v="13"/>
    <m/>
    <m/>
    <x v="1"/>
    <n v="0"/>
  </r>
  <r>
    <s v="CAND0495"/>
    <s v="Nisha Patel"/>
    <x v="221"/>
    <x v="2"/>
    <x v="2"/>
    <x v="1"/>
    <x v="0"/>
    <x v="3"/>
    <s v="Passed"/>
    <s v="Round 1"/>
    <d v="2026-06-30T00:00:00"/>
    <s v="Completed"/>
    <s v="Rejected"/>
    <m/>
    <s v="Not Applicable"/>
    <m/>
    <n v="17"/>
    <m/>
    <m/>
    <x v="1"/>
    <n v="0"/>
  </r>
  <r>
    <s v="CAND0496"/>
    <s v="Rahul Mishra"/>
    <x v="146"/>
    <x v="4"/>
    <x v="2"/>
    <x v="1"/>
    <x v="1"/>
    <x v="2"/>
    <s v="Passed"/>
    <s v="Not Applicable"/>
    <m/>
    <s v="Not Scheduled"/>
    <s v="In Process"/>
    <m/>
    <s v="Not Applicable"/>
    <m/>
    <m/>
    <m/>
    <m/>
    <x v="2"/>
    <n v="0"/>
  </r>
  <r>
    <s v="CAND0497"/>
    <s v="Aarav Sharma"/>
    <x v="192"/>
    <x v="2"/>
    <x v="2"/>
    <x v="4"/>
    <x v="0"/>
    <x v="0"/>
    <s v="Passed"/>
    <s v="Not Applicable"/>
    <m/>
    <s v="Not Scheduled"/>
    <s v="In Process"/>
    <m/>
    <s v="Not Applicable"/>
    <m/>
    <m/>
    <m/>
    <m/>
    <x v="2"/>
    <n v="0"/>
  </r>
  <r>
    <s v="CAND0498"/>
    <s v="Arjun Sharma"/>
    <x v="64"/>
    <x v="5"/>
    <x v="1"/>
    <x v="3"/>
    <x v="0"/>
    <x v="3"/>
    <s v="Rejected"/>
    <s v="Not Applicable"/>
    <m/>
    <s v="Not Applicable"/>
    <s v="Rejected"/>
    <m/>
    <s v="Not Applicable"/>
    <m/>
    <m/>
    <m/>
    <m/>
    <x v="1"/>
    <n v="0"/>
  </r>
  <r>
    <s v="CAND0499"/>
    <s v="Isha Mehta"/>
    <x v="224"/>
    <x v="4"/>
    <x v="2"/>
    <x v="1"/>
    <x v="2"/>
    <x v="0"/>
    <s v="Passed"/>
    <s v="Round 1"/>
    <d v="2026-03-26T00:00:00"/>
    <s v="Completed"/>
    <s v="Rejected"/>
    <m/>
    <s v="Not Applicable"/>
    <m/>
    <n v="14"/>
    <m/>
    <m/>
    <x v="1"/>
    <n v="0"/>
  </r>
  <r>
    <s v="CAND0500"/>
    <s v="Riya Mishra"/>
    <x v="42"/>
    <x v="2"/>
    <x v="2"/>
    <x v="1"/>
    <x v="2"/>
    <x v="3"/>
    <s v="Passed"/>
    <s v="Round 1"/>
    <d v="2026-06-08T00:00:00"/>
    <s v="Completed"/>
    <s v="Selected"/>
    <m/>
    <s v="Not Applicable"/>
    <m/>
    <n v="13"/>
    <m/>
    <m/>
    <x v="0"/>
    <n v="1"/>
  </r>
  <r>
    <s v="CAND0501"/>
    <s v="Kavya Agarwal"/>
    <x v="44"/>
    <x v="2"/>
    <x v="2"/>
    <x v="0"/>
    <x v="5"/>
    <x v="1"/>
    <s v="Rejected"/>
    <s v="Not Applicable"/>
    <m/>
    <s v="Not Applicable"/>
    <s v="Rejected"/>
    <m/>
    <s v="Not Applicable"/>
    <m/>
    <m/>
    <m/>
    <m/>
    <x v="1"/>
    <n v="0"/>
  </r>
  <r>
    <s v="CAND0502"/>
    <s v="Diya Patel"/>
    <x v="105"/>
    <x v="2"/>
    <x v="2"/>
    <x v="2"/>
    <x v="4"/>
    <x v="2"/>
    <s v="Rejected"/>
    <s v="Not Applicable"/>
    <m/>
    <s v="Not Applicable"/>
    <s v="Rejected"/>
    <m/>
    <s v="Not Applicable"/>
    <m/>
    <m/>
    <m/>
    <m/>
    <x v="1"/>
    <n v="0"/>
  </r>
  <r>
    <s v="CAND0503"/>
    <s v="Kabir Joshi"/>
    <x v="129"/>
    <x v="4"/>
    <x v="2"/>
    <x v="1"/>
    <x v="2"/>
    <x v="2"/>
    <s v="Rejected"/>
    <s v="Not Applicable"/>
    <m/>
    <s v="Not Applicable"/>
    <s v="Rejected"/>
    <m/>
    <s v="Not Applicable"/>
    <m/>
    <m/>
    <m/>
    <m/>
    <x v="1"/>
    <n v="0"/>
  </r>
  <r>
    <s v="CAND0504"/>
    <s v="Aanya Mishra"/>
    <x v="56"/>
    <x v="1"/>
    <x v="1"/>
    <x v="0"/>
    <x v="0"/>
    <x v="3"/>
    <s v="Passed"/>
    <s v="Not Applicable"/>
    <m/>
    <s v="Not Scheduled"/>
    <s v="In Process"/>
    <m/>
    <s v="Not Applicable"/>
    <m/>
    <m/>
    <m/>
    <m/>
    <x v="2"/>
    <n v="0"/>
  </r>
  <r>
    <s v="CAND0505"/>
    <s v="Aanya Rao"/>
    <x v="88"/>
    <x v="3"/>
    <x v="1"/>
    <x v="2"/>
    <x v="0"/>
    <x v="1"/>
    <s v="Passed"/>
    <s v="Round 1"/>
    <d v="2026-02-07T00:00:00"/>
    <s v="Completed"/>
    <s v="Selected"/>
    <d v="2026-02-13T00:00:00"/>
    <s v="Joined"/>
    <d v="2026-02-23T00:00:00"/>
    <n v="9"/>
    <n v="6"/>
    <n v="10"/>
    <x v="0"/>
    <n v="1"/>
  </r>
  <r>
    <s v="CAND0506"/>
    <s v="Riya Chauhan"/>
    <x v="225"/>
    <x v="0"/>
    <x v="0"/>
    <x v="1"/>
    <x v="2"/>
    <x v="4"/>
    <s v="Passed"/>
    <s v="Round 1"/>
    <d v="2026-04-18T00:00:00"/>
    <s v="Completed"/>
    <s v="Selected"/>
    <m/>
    <s v="Not Applicable"/>
    <m/>
    <n v="13"/>
    <m/>
    <m/>
    <x v="0"/>
    <n v="1"/>
  </r>
  <r>
    <s v="CAND0507"/>
    <s v="Kabir Mishra"/>
    <x v="160"/>
    <x v="4"/>
    <x v="2"/>
    <x v="3"/>
    <x v="0"/>
    <x v="4"/>
    <s v="Passed"/>
    <s v="Not Applicable"/>
    <m/>
    <s v="Not Scheduled"/>
    <s v="In Process"/>
    <m/>
    <s v="Not Applicable"/>
    <m/>
    <m/>
    <m/>
    <m/>
    <x v="2"/>
    <n v="0"/>
  </r>
  <r>
    <s v="CAND0508"/>
    <s v="Meera Patel"/>
    <x v="84"/>
    <x v="0"/>
    <x v="0"/>
    <x v="4"/>
    <x v="1"/>
    <x v="2"/>
    <s v="Passed"/>
    <s v="Round 1"/>
    <d v="2026-07-22T00:00:00"/>
    <s v="Completed"/>
    <s v="Selected"/>
    <d v="2026-07-29T00:00:00"/>
    <s v="Joined"/>
    <d v="2026-08-19T00:00:00"/>
    <n v="6"/>
    <n v="7"/>
    <n v="21"/>
    <x v="0"/>
    <n v="1"/>
  </r>
  <r>
    <s v="CAND0509"/>
    <s v="Karan Malhotra"/>
    <x v="196"/>
    <x v="1"/>
    <x v="1"/>
    <x v="4"/>
    <x v="2"/>
    <x v="2"/>
    <s v="Passed"/>
    <s v="Round 1"/>
    <d v="2026-04-03T00:00:00"/>
    <s v="Completed"/>
    <s v="Selected"/>
    <d v="2026-04-07T00:00:00"/>
    <s v="Joined"/>
    <d v="2026-05-02T00:00:00"/>
    <n v="16"/>
    <n v="4"/>
    <n v="25"/>
    <x v="0"/>
    <n v="1"/>
  </r>
  <r>
    <s v="CAND0510"/>
    <s v="Aarav Agarwal"/>
    <x v="73"/>
    <x v="0"/>
    <x v="0"/>
    <x v="5"/>
    <x v="2"/>
    <x v="4"/>
    <s v="Rejected"/>
    <s v="Not Applicable"/>
    <m/>
    <s v="Not Applicable"/>
    <s v="Rejected"/>
    <m/>
    <s v="Not Applicable"/>
    <m/>
    <m/>
    <m/>
    <m/>
    <x v="1"/>
    <n v="0"/>
  </r>
  <r>
    <s v="CAND0511"/>
    <s v="Isha Joshi"/>
    <x v="131"/>
    <x v="0"/>
    <x v="0"/>
    <x v="4"/>
    <x v="5"/>
    <x v="1"/>
    <s v="Rejected"/>
    <s v="Not Applicable"/>
    <m/>
    <s v="Not Applicable"/>
    <s v="Rejected"/>
    <m/>
    <s v="Not Applicable"/>
    <m/>
    <m/>
    <m/>
    <m/>
    <x v="1"/>
    <n v="0"/>
  </r>
  <r>
    <s v="CAND0512"/>
    <s v="Nisha Kapoor"/>
    <x v="184"/>
    <x v="4"/>
    <x v="2"/>
    <x v="4"/>
    <x v="4"/>
    <x v="0"/>
    <s v="Passed"/>
    <s v="Round 1"/>
    <d v="2026-07-02T00:00:00"/>
    <s v="Completed"/>
    <s v="Rejected"/>
    <m/>
    <s v="Not Applicable"/>
    <m/>
    <n v="12"/>
    <m/>
    <m/>
    <x v="1"/>
    <n v="0"/>
  </r>
  <r>
    <s v="CAND0513"/>
    <s v="Rohan Kapoor"/>
    <x v="226"/>
    <x v="0"/>
    <x v="0"/>
    <x v="3"/>
    <x v="5"/>
    <x v="1"/>
    <s v="Passed"/>
    <s v="Round 1"/>
    <d v="2026-06-15T00:00:00"/>
    <s v="Completed"/>
    <s v="Selected"/>
    <m/>
    <s v="Not Applicable"/>
    <m/>
    <n v="11"/>
    <m/>
    <m/>
    <x v="0"/>
    <n v="1"/>
  </r>
  <r>
    <s v="CAND0514"/>
    <s v="Vivaan Agarwal"/>
    <x v="69"/>
    <x v="5"/>
    <x v="1"/>
    <x v="4"/>
    <x v="0"/>
    <x v="2"/>
    <s v="Rejected"/>
    <s v="Not Applicable"/>
    <m/>
    <s v="Not Applicable"/>
    <s v="Rejected"/>
    <m/>
    <s v="Not Applicable"/>
    <m/>
    <m/>
    <m/>
    <m/>
    <x v="1"/>
    <n v="0"/>
  </r>
  <r>
    <s v="CAND0515"/>
    <s v="Nisha Singh"/>
    <x v="182"/>
    <x v="1"/>
    <x v="1"/>
    <x v="4"/>
    <x v="0"/>
    <x v="4"/>
    <s v="Rejected"/>
    <s v="Not Applicable"/>
    <m/>
    <s v="Not Applicable"/>
    <s v="Rejected"/>
    <m/>
    <s v="Not Applicable"/>
    <m/>
    <m/>
    <m/>
    <m/>
    <x v="1"/>
    <n v="0"/>
  </r>
  <r>
    <s v="CAND0516"/>
    <s v="Ananya Mishra"/>
    <x v="67"/>
    <x v="1"/>
    <x v="1"/>
    <x v="4"/>
    <x v="2"/>
    <x v="4"/>
    <s v="Rejected"/>
    <s v="Not Applicable"/>
    <m/>
    <s v="Not Applicable"/>
    <s v="Rejected"/>
    <m/>
    <s v="Not Applicable"/>
    <m/>
    <m/>
    <m/>
    <m/>
    <x v="1"/>
    <n v="0"/>
  </r>
  <r>
    <s v="CAND0517"/>
    <s v="Sana Sinha"/>
    <x v="165"/>
    <x v="2"/>
    <x v="2"/>
    <x v="2"/>
    <x v="2"/>
    <x v="1"/>
    <s v="Passed"/>
    <s v="Round 1"/>
    <d v="2026-08-16T00:00:00"/>
    <s v="Completed"/>
    <s v="Rejected"/>
    <m/>
    <s v="Not Applicable"/>
    <m/>
    <n v="14"/>
    <m/>
    <m/>
    <x v="1"/>
    <n v="0"/>
  </r>
  <r>
    <s v="CAND0518"/>
    <s v="Riya Malhotra"/>
    <x v="58"/>
    <x v="2"/>
    <x v="2"/>
    <x v="4"/>
    <x v="4"/>
    <x v="3"/>
    <s v="Passed"/>
    <s v="Round 1"/>
    <d v="2026-05-21T00:00:00"/>
    <s v="Completed"/>
    <s v="Rejected"/>
    <m/>
    <s v="Not Applicable"/>
    <m/>
    <n v="15"/>
    <m/>
    <m/>
    <x v="1"/>
    <n v="0"/>
  </r>
  <r>
    <s v="CAND0519"/>
    <s v="Nisha Mishra"/>
    <x v="87"/>
    <x v="2"/>
    <x v="2"/>
    <x v="5"/>
    <x v="0"/>
    <x v="0"/>
    <s v="Passed"/>
    <s v="Round 1"/>
    <d v="2026-07-01T00:00:00"/>
    <s v="Completed"/>
    <s v="Rejected"/>
    <m/>
    <s v="Not Applicable"/>
    <m/>
    <n v="9"/>
    <m/>
    <m/>
    <x v="1"/>
    <n v="0"/>
  </r>
  <r>
    <s v="CAND0520"/>
    <s v="Nisha Chauhan"/>
    <x v="227"/>
    <x v="1"/>
    <x v="1"/>
    <x v="4"/>
    <x v="5"/>
    <x v="0"/>
    <s v="Passed"/>
    <s v="Round 1"/>
    <d v="2026-06-12T00:00:00"/>
    <s v="Completed"/>
    <s v="Rejected"/>
    <m/>
    <s v="Not Applicable"/>
    <m/>
    <n v="5"/>
    <m/>
    <m/>
    <x v="1"/>
    <n v="0"/>
  </r>
  <r>
    <s v="CAND0521"/>
    <s v="Diya Mehta"/>
    <x v="191"/>
    <x v="3"/>
    <x v="1"/>
    <x v="4"/>
    <x v="1"/>
    <x v="3"/>
    <s v="Passed"/>
    <s v="Not Applicable"/>
    <m/>
    <s v="Not Scheduled"/>
    <s v="In Process"/>
    <m/>
    <s v="Not Applicable"/>
    <m/>
    <m/>
    <m/>
    <m/>
    <x v="2"/>
    <n v="0"/>
  </r>
  <r>
    <s v="CAND0522"/>
    <s v="Vivaan Mehta"/>
    <x v="124"/>
    <x v="0"/>
    <x v="0"/>
    <x v="1"/>
    <x v="1"/>
    <x v="1"/>
    <s v="Passed"/>
    <s v="Round 1"/>
    <d v="2026-02-02T00:00:00"/>
    <s v="Completed"/>
    <s v="Rejected"/>
    <m/>
    <s v="Not Applicable"/>
    <m/>
    <n v="12"/>
    <m/>
    <m/>
    <x v="1"/>
    <n v="0"/>
  </r>
  <r>
    <s v="CAND0523"/>
    <s v="Sana Sinha"/>
    <x v="220"/>
    <x v="2"/>
    <x v="2"/>
    <x v="4"/>
    <x v="1"/>
    <x v="0"/>
    <s v="Passed"/>
    <s v="Round 1"/>
    <d v="2026-03-05T00:00:00"/>
    <s v="Completed"/>
    <s v="Selected"/>
    <d v="2026-03-08T00:00:00"/>
    <s v="Joined"/>
    <d v="2026-04-03T00:00:00"/>
    <n v="6"/>
    <n v="3"/>
    <n v="26"/>
    <x v="0"/>
    <n v="1"/>
  </r>
  <r>
    <s v="CAND0524"/>
    <s v="Ananya Verma"/>
    <x v="218"/>
    <x v="3"/>
    <x v="1"/>
    <x v="4"/>
    <x v="1"/>
    <x v="4"/>
    <s v="Rejected"/>
    <s v="Not Applicable"/>
    <m/>
    <s v="Not Applicable"/>
    <s v="Rejected"/>
    <m/>
    <s v="Not Applicable"/>
    <m/>
    <m/>
    <m/>
    <m/>
    <x v="1"/>
    <n v="0"/>
  </r>
  <r>
    <s v="CAND0525"/>
    <s v="Rohan Khan"/>
    <x v="133"/>
    <x v="4"/>
    <x v="2"/>
    <x v="1"/>
    <x v="2"/>
    <x v="3"/>
    <s v="Passed"/>
    <s v="Round 1"/>
    <d v="2026-08-19T00:00:00"/>
    <s v="Completed"/>
    <s v="Selected"/>
    <d v="2026-08-22T00:00:00"/>
    <s v="Joined"/>
    <d v="2026-09-13T00:00:00"/>
    <n v="5"/>
    <n v="3"/>
    <n v="22"/>
    <x v="0"/>
    <n v="1"/>
  </r>
  <r>
    <s v="CAND0526"/>
    <s v="Sana Verma"/>
    <x v="43"/>
    <x v="2"/>
    <x v="2"/>
    <x v="4"/>
    <x v="2"/>
    <x v="2"/>
    <s v="Rejected"/>
    <s v="Not Applicable"/>
    <m/>
    <s v="Not Applicable"/>
    <s v="Rejected"/>
    <m/>
    <s v="Not Applicable"/>
    <m/>
    <m/>
    <m/>
    <m/>
    <x v="1"/>
    <n v="0"/>
  </r>
  <r>
    <s v="CAND0527"/>
    <s v="Meera Verma"/>
    <x v="198"/>
    <x v="5"/>
    <x v="1"/>
    <x v="4"/>
    <x v="2"/>
    <x v="4"/>
    <s v="Passed"/>
    <s v="Round 1"/>
    <d v="2026-04-06T00:00:00"/>
    <s v="Completed"/>
    <s v="Selected"/>
    <d v="2026-04-12T00:00:00"/>
    <s v="Joined"/>
    <d v="2026-05-11T00:00:00"/>
    <n v="8"/>
    <n v="6"/>
    <n v="29"/>
    <x v="0"/>
    <n v="1"/>
  </r>
  <r>
    <s v="CAND0528"/>
    <s v="Karan Joshi"/>
    <x v="115"/>
    <x v="4"/>
    <x v="2"/>
    <x v="5"/>
    <x v="3"/>
    <x v="2"/>
    <s v="Passed"/>
    <s v="Round 1"/>
    <d v="2026-05-08T00:00:00"/>
    <s v="Completed"/>
    <s v="Rejected"/>
    <m/>
    <s v="Not Applicable"/>
    <m/>
    <n v="17"/>
    <m/>
    <m/>
    <x v="1"/>
    <n v="0"/>
  </r>
  <r>
    <s v="CAND0529"/>
    <s v="Reyansh Mishra"/>
    <x v="30"/>
    <x v="2"/>
    <x v="2"/>
    <x v="4"/>
    <x v="2"/>
    <x v="1"/>
    <s v="Passed"/>
    <s v="Round 1"/>
    <d v="2026-05-02T00:00:00"/>
    <s v="Completed"/>
    <s v="Selected"/>
    <d v="2026-05-09T00:00:00"/>
    <s v="Joined"/>
    <d v="2026-05-25T00:00:00"/>
    <n v="5"/>
    <n v="7"/>
    <n v="16"/>
    <x v="0"/>
    <n v="1"/>
  </r>
  <r>
    <s v="CAND0530"/>
    <s v="Rahul Mishra"/>
    <x v="17"/>
    <x v="5"/>
    <x v="1"/>
    <x v="5"/>
    <x v="5"/>
    <x v="4"/>
    <s v="Passed"/>
    <s v="Round 1"/>
    <d v="2026-06-13T00:00:00"/>
    <s v="Completed"/>
    <s v="Selected"/>
    <d v="2026-06-18T00:00:00"/>
    <s v="Offer Declined"/>
    <m/>
    <n v="13"/>
    <n v="5"/>
    <m/>
    <x v="0"/>
    <n v="1"/>
  </r>
  <r>
    <s v="CAND0531"/>
    <s v="Nisha Patel"/>
    <x v="129"/>
    <x v="3"/>
    <x v="1"/>
    <x v="4"/>
    <x v="0"/>
    <x v="1"/>
    <s v="Rejected"/>
    <s v="Not Applicable"/>
    <m/>
    <s v="Not Applicable"/>
    <s v="Rejected"/>
    <m/>
    <s v="Not Applicable"/>
    <m/>
    <m/>
    <m/>
    <m/>
    <x v="1"/>
    <n v="0"/>
  </r>
  <r>
    <s v="CAND0532"/>
    <s v="Isha Sharma"/>
    <x v="199"/>
    <x v="0"/>
    <x v="0"/>
    <x v="0"/>
    <x v="2"/>
    <x v="1"/>
    <s v="Rejected"/>
    <s v="Not Applicable"/>
    <m/>
    <s v="Not Applicable"/>
    <s v="Rejected"/>
    <m/>
    <s v="Not Applicable"/>
    <m/>
    <m/>
    <m/>
    <m/>
    <x v="1"/>
    <n v="0"/>
  </r>
  <r>
    <s v="CAND0533"/>
    <s v="Priya Chauhan"/>
    <x v="173"/>
    <x v="3"/>
    <x v="1"/>
    <x v="4"/>
    <x v="5"/>
    <x v="3"/>
    <s v="Passed"/>
    <s v="Round 1"/>
    <d v="2026-04-23T00:00:00"/>
    <s v="Completed"/>
    <s v="Rejected"/>
    <m/>
    <s v="Not Applicable"/>
    <m/>
    <n v="13"/>
    <m/>
    <m/>
    <x v="1"/>
    <n v="0"/>
  </r>
  <r>
    <s v="CAND0534"/>
    <s v="Kavya Mishra"/>
    <x v="87"/>
    <x v="1"/>
    <x v="1"/>
    <x v="0"/>
    <x v="2"/>
    <x v="4"/>
    <s v="Rejected"/>
    <s v="Not Applicable"/>
    <m/>
    <s v="Not Applicable"/>
    <s v="Rejected"/>
    <m/>
    <s v="Not Applicable"/>
    <m/>
    <m/>
    <m/>
    <m/>
    <x v="1"/>
    <n v="0"/>
  </r>
  <r>
    <s v="CAND0535"/>
    <s v="Ananya Patel"/>
    <x v="47"/>
    <x v="4"/>
    <x v="2"/>
    <x v="1"/>
    <x v="5"/>
    <x v="3"/>
    <s v="Passed"/>
    <s v="Round 1"/>
    <d v="2026-05-20T00:00:00"/>
    <s v="Completed"/>
    <s v="Rejected"/>
    <m/>
    <s v="Not Applicable"/>
    <m/>
    <n v="6"/>
    <m/>
    <m/>
    <x v="1"/>
    <n v="0"/>
  </r>
  <r>
    <s v="CAND0536"/>
    <s v="Sana Patel"/>
    <x v="228"/>
    <x v="2"/>
    <x v="2"/>
    <x v="2"/>
    <x v="3"/>
    <x v="3"/>
    <s v="Rejected"/>
    <s v="Not Applicable"/>
    <m/>
    <s v="Not Applicable"/>
    <s v="Rejected"/>
    <m/>
    <s v="Not Applicable"/>
    <m/>
    <m/>
    <m/>
    <m/>
    <x v="1"/>
    <n v="0"/>
  </r>
  <r>
    <s v="CAND0537"/>
    <s v="Aditya Patel"/>
    <x v="98"/>
    <x v="0"/>
    <x v="0"/>
    <x v="1"/>
    <x v="3"/>
    <x v="1"/>
    <s v="Rejected"/>
    <s v="Not Applicable"/>
    <m/>
    <s v="Not Applicable"/>
    <s v="Rejected"/>
    <m/>
    <s v="Not Applicable"/>
    <m/>
    <m/>
    <m/>
    <m/>
    <x v="1"/>
    <n v="0"/>
  </r>
  <r>
    <s v="CAND0538"/>
    <s v="Rahul Khan"/>
    <x v="218"/>
    <x v="2"/>
    <x v="2"/>
    <x v="1"/>
    <x v="4"/>
    <x v="1"/>
    <s v="Passed"/>
    <s v="Not Applicable"/>
    <m/>
    <s v="Not Scheduled"/>
    <s v="In Process"/>
    <m/>
    <s v="Not Applicable"/>
    <m/>
    <m/>
    <m/>
    <m/>
    <x v="2"/>
    <n v="0"/>
  </r>
  <r>
    <s v="CAND0539"/>
    <s v="Aditya Gupta"/>
    <x v="118"/>
    <x v="5"/>
    <x v="1"/>
    <x v="2"/>
    <x v="1"/>
    <x v="4"/>
    <s v="Passed"/>
    <s v="Not Applicable"/>
    <m/>
    <s v="Not Scheduled"/>
    <s v="In Process"/>
    <m/>
    <s v="Not Applicable"/>
    <m/>
    <m/>
    <m/>
    <m/>
    <x v="2"/>
    <n v="0"/>
  </r>
  <r>
    <s v="CAND0540"/>
    <s v="Priya Malhotra"/>
    <x v="182"/>
    <x v="2"/>
    <x v="2"/>
    <x v="3"/>
    <x v="2"/>
    <x v="0"/>
    <s v="Rejected"/>
    <s v="Not Applicable"/>
    <m/>
    <s v="Not Applicable"/>
    <s v="Rejected"/>
    <m/>
    <s v="Not Applicable"/>
    <m/>
    <m/>
    <m/>
    <m/>
    <x v="1"/>
    <n v="0"/>
  </r>
  <r>
    <s v="CAND0541"/>
    <s v="Meera Verma"/>
    <x v="187"/>
    <x v="2"/>
    <x v="2"/>
    <x v="2"/>
    <x v="1"/>
    <x v="2"/>
    <s v="Passed"/>
    <s v="Not Applicable"/>
    <m/>
    <s v="Not Scheduled"/>
    <s v="In Process"/>
    <m/>
    <s v="Not Applicable"/>
    <m/>
    <m/>
    <m/>
    <m/>
    <x v="2"/>
    <n v="0"/>
  </r>
  <r>
    <s v="CAND0542"/>
    <s v="Sana Sharma"/>
    <x v="33"/>
    <x v="3"/>
    <x v="1"/>
    <x v="5"/>
    <x v="0"/>
    <x v="4"/>
    <s v="Passed"/>
    <s v="Not Applicable"/>
    <m/>
    <s v="Not Scheduled"/>
    <s v="In Process"/>
    <m/>
    <s v="Not Applicable"/>
    <m/>
    <m/>
    <m/>
    <m/>
    <x v="2"/>
    <n v="0"/>
  </r>
  <r>
    <s v="CAND0543"/>
    <s v="Rohan Joshi"/>
    <x v="212"/>
    <x v="1"/>
    <x v="1"/>
    <x v="2"/>
    <x v="5"/>
    <x v="4"/>
    <s v="Passed"/>
    <s v="Round 1"/>
    <d v="2026-10-06T00:00:00"/>
    <s v="Completed"/>
    <s v="Rejected"/>
    <m/>
    <s v="Not Applicable"/>
    <m/>
    <n v="10"/>
    <m/>
    <m/>
    <x v="1"/>
    <n v="0"/>
  </r>
  <r>
    <s v="CAND0544"/>
    <s v="Aditya Khan"/>
    <x v="107"/>
    <x v="5"/>
    <x v="1"/>
    <x v="1"/>
    <x v="2"/>
    <x v="1"/>
    <s v="Passed"/>
    <s v="Not Applicable"/>
    <m/>
    <s v="Not Scheduled"/>
    <s v="In Process"/>
    <m/>
    <s v="Not Applicable"/>
    <m/>
    <m/>
    <m/>
    <m/>
    <x v="2"/>
    <n v="0"/>
  </r>
  <r>
    <s v="CAND0545"/>
    <s v="Ishaan Verma"/>
    <x v="229"/>
    <x v="1"/>
    <x v="1"/>
    <x v="4"/>
    <x v="4"/>
    <x v="2"/>
    <s v="Passed"/>
    <s v="Not Applicable"/>
    <m/>
    <s v="Not Scheduled"/>
    <s v="In Process"/>
    <m/>
    <s v="Not Applicable"/>
    <m/>
    <m/>
    <m/>
    <m/>
    <x v="2"/>
    <n v="0"/>
  </r>
  <r>
    <s v="CAND0546"/>
    <s v="Vivaan Mehta"/>
    <x v="85"/>
    <x v="1"/>
    <x v="1"/>
    <x v="5"/>
    <x v="5"/>
    <x v="3"/>
    <s v="Passed"/>
    <s v="Round 1"/>
    <d v="2026-04-03T00:00:00"/>
    <s v="Completed"/>
    <s v="Rejected"/>
    <m/>
    <s v="Not Applicable"/>
    <m/>
    <n v="12"/>
    <m/>
    <m/>
    <x v="1"/>
    <n v="0"/>
  </r>
  <r>
    <s v="CAND0547"/>
    <s v="Aarav Sharma"/>
    <x v="173"/>
    <x v="5"/>
    <x v="1"/>
    <x v="0"/>
    <x v="5"/>
    <x v="0"/>
    <s v="Passed"/>
    <s v="Round 1"/>
    <d v="2026-04-14T00:00:00"/>
    <s v="Completed"/>
    <s v="Rejected"/>
    <m/>
    <s v="Not Applicable"/>
    <m/>
    <n v="4"/>
    <m/>
    <m/>
    <x v="1"/>
    <n v="0"/>
  </r>
  <r>
    <s v="CAND0548"/>
    <s v="Rahul Mehta"/>
    <x v="230"/>
    <x v="3"/>
    <x v="1"/>
    <x v="4"/>
    <x v="0"/>
    <x v="3"/>
    <s v="Rejected"/>
    <s v="Not Applicable"/>
    <m/>
    <s v="Not Applicable"/>
    <s v="Rejected"/>
    <m/>
    <s v="Not Applicable"/>
    <m/>
    <m/>
    <m/>
    <m/>
    <x v="1"/>
    <n v="0"/>
  </r>
  <r>
    <s v="CAND0549"/>
    <s v="Diya Sharma"/>
    <x v="123"/>
    <x v="1"/>
    <x v="1"/>
    <x v="4"/>
    <x v="0"/>
    <x v="2"/>
    <s v="Passed"/>
    <s v="Round 1"/>
    <d v="2026-08-21T00:00:00"/>
    <s v="Completed"/>
    <s v="Rejected"/>
    <m/>
    <s v="Not Applicable"/>
    <m/>
    <n v="5"/>
    <m/>
    <m/>
    <x v="1"/>
    <n v="0"/>
  </r>
  <r>
    <s v="CAND0550"/>
    <s v="Nisha Joshi"/>
    <x v="65"/>
    <x v="4"/>
    <x v="2"/>
    <x v="5"/>
    <x v="2"/>
    <x v="2"/>
    <s v="Rejected"/>
    <s v="Not Applicable"/>
    <m/>
    <s v="Not Applicable"/>
    <s v="Rejected"/>
    <m/>
    <s v="Not Applicable"/>
    <m/>
    <m/>
    <m/>
    <m/>
    <x v="1"/>
    <n v="0"/>
  </r>
  <r>
    <s v="CAND0551"/>
    <s v="Reyansh Patel"/>
    <x v="217"/>
    <x v="4"/>
    <x v="2"/>
    <x v="0"/>
    <x v="0"/>
    <x v="2"/>
    <s v="Rejected"/>
    <s v="Not Applicable"/>
    <m/>
    <s v="Not Applicable"/>
    <s v="Rejected"/>
    <m/>
    <s v="Not Applicable"/>
    <m/>
    <m/>
    <m/>
    <m/>
    <x v="1"/>
    <n v="0"/>
  </r>
  <r>
    <s v="CAND0552"/>
    <s v="Isha Mehta"/>
    <x v="231"/>
    <x v="1"/>
    <x v="1"/>
    <x v="5"/>
    <x v="5"/>
    <x v="0"/>
    <s v="Rejected"/>
    <s v="Not Applicable"/>
    <m/>
    <s v="Not Applicable"/>
    <s v="Rejected"/>
    <m/>
    <s v="Not Applicable"/>
    <m/>
    <m/>
    <m/>
    <m/>
    <x v="1"/>
    <n v="0"/>
  </r>
  <r>
    <s v="CAND0553"/>
    <s v="Rohan Kapoor"/>
    <x v="117"/>
    <x v="3"/>
    <x v="1"/>
    <x v="4"/>
    <x v="3"/>
    <x v="1"/>
    <s v="Rejected"/>
    <s v="Not Applicable"/>
    <m/>
    <s v="Not Applicable"/>
    <s v="Rejected"/>
    <m/>
    <s v="Not Applicable"/>
    <m/>
    <m/>
    <m/>
    <m/>
    <x v="1"/>
    <n v="0"/>
  </r>
  <r>
    <s v="CAND0554"/>
    <s v="Karan Agarwal"/>
    <x v="51"/>
    <x v="1"/>
    <x v="1"/>
    <x v="1"/>
    <x v="0"/>
    <x v="3"/>
    <s v="Passed"/>
    <s v="Round 1"/>
    <d v="2026-03-20T00:00:00"/>
    <s v="Completed"/>
    <s v="Selected"/>
    <d v="2026-03-25T00:00:00"/>
    <s v="Joined"/>
    <d v="2026-04-22T00:00:00"/>
    <n v="14"/>
    <n v="5"/>
    <n v="28"/>
    <x v="0"/>
    <n v="1"/>
  </r>
  <r>
    <s v="CAND0555"/>
    <s v="Vivaan Singh"/>
    <x v="52"/>
    <x v="0"/>
    <x v="0"/>
    <x v="3"/>
    <x v="5"/>
    <x v="2"/>
    <s v="Passed"/>
    <s v="Round 1"/>
    <d v="2026-04-19T00:00:00"/>
    <s v="Completed"/>
    <s v="Selected"/>
    <d v="2026-04-23T00:00:00"/>
    <s v="Joined"/>
    <d v="2026-05-14T00:00:00"/>
    <n v="11"/>
    <n v="4"/>
    <n v="21"/>
    <x v="0"/>
    <n v="1"/>
  </r>
  <r>
    <s v="CAND0556"/>
    <s v="Reyansh Agarwal"/>
    <x v="120"/>
    <x v="2"/>
    <x v="2"/>
    <x v="1"/>
    <x v="2"/>
    <x v="0"/>
    <s v="Passed"/>
    <s v="Round 1"/>
    <d v="2026-05-09T00:00:00"/>
    <s v="Completed"/>
    <s v="Rejected"/>
    <m/>
    <s v="Not Applicable"/>
    <m/>
    <n v="15"/>
    <m/>
    <m/>
    <x v="1"/>
    <n v="0"/>
  </r>
  <r>
    <s v="CAND0557"/>
    <s v="Aanya Khan"/>
    <x v="51"/>
    <x v="0"/>
    <x v="0"/>
    <x v="4"/>
    <x v="1"/>
    <x v="3"/>
    <s v="Rejected"/>
    <s v="Not Applicable"/>
    <m/>
    <s v="Not Applicable"/>
    <s v="Rejected"/>
    <m/>
    <s v="Not Applicable"/>
    <m/>
    <m/>
    <m/>
    <m/>
    <x v="1"/>
    <n v="0"/>
  </r>
  <r>
    <s v="CAND0558"/>
    <s v="Kavya Sinha"/>
    <x v="126"/>
    <x v="3"/>
    <x v="1"/>
    <x v="2"/>
    <x v="5"/>
    <x v="3"/>
    <s v="Rejected"/>
    <s v="Not Applicable"/>
    <m/>
    <s v="Not Applicable"/>
    <s v="Rejected"/>
    <m/>
    <s v="Not Applicable"/>
    <m/>
    <m/>
    <m/>
    <m/>
    <x v="1"/>
    <n v="0"/>
  </r>
  <r>
    <s v="CAND0559"/>
    <s v="Meera Khan"/>
    <x v="85"/>
    <x v="5"/>
    <x v="1"/>
    <x v="3"/>
    <x v="2"/>
    <x v="1"/>
    <s v="Rejected"/>
    <s v="Not Applicable"/>
    <m/>
    <s v="Not Applicable"/>
    <s v="Rejected"/>
    <m/>
    <s v="Not Applicable"/>
    <m/>
    <m/>
    <m/>
    <m/>
    <x v="1"/>
    <n v="0"/>
  </r>
  <r>
    <s v="CAND0560"/>
    <s v="Meera Gupta"/>
    <x v="220"/>
    <x v="2"/>
    <x v="2"/>
    <x v="2"/>
    <x v="5"/>
    <x v="2"/>
    <s v="Passed"/>
    <s v="Round 1"/>
    <d v="2026-03-03T00:00:00"/>
    <s v="Completed"/>
    <s v="Rejected"/>
    <m/>
    <s v="Not Applicable"/>
    <m/>
    <n v="4"/>
    <m/>
    <m/>
    <x v="1"/>
    <n v="0"/>
  </r>
  <r>
    <s v="CAND0561"/>
    <s v="Aarav Mishra"/>
    <x v="158"/>
    <x v="1"/>
    <x v="1"/>
    <x v="3"/>
    <x v="0"/>
    <x v="2"/>
    <s v="Rejected"/>
    <s v="Not Applicable"/>
    <m/>
    <s v="Not Applicable"/>
    <s v="Rejected"/>
    <m/>
    <s v="Not Applicable"/>
    <m/>
    <m/>
    <m/>
    <m/>
    <x v="1"/>
    <n v="0"/>
  </r>
  <r>
    <s v="CAND0562"/>
    <s v="Ishaan Singh"/>
    <x v="209"/>
    <x v="5"/>
    <x v="1"/>
    <x v="0"/>
    <x v="1"/>
    <x v="3"/>
    <s v="Passed"/>
    <s v="Round 1"/>
    <d v="2026-05-09T00:00:00"/>
    <s v="Completed"/>
    <s v="Rejected"/>
    <m/>
    <s v="Not Applicable"/>
    <m/>
    <n v="10"/>
    <m/>
    <m/>
    <x v="1"/>
    <n v="0"/>
  </r>
  <r>
    <s v="CAND0563"/>
    <s v="Vivaan Joshi"/>
    <x v="149"/>
    <x v="4"/>
    <x v="2"/>
    <x v="0"/>
    <x v="3"/>
    <x v="0"/>
    <s v="Passed"/>
    <s v="Round 1"/>
    <d v="2026-02-11T00:00:00"/>
    <s v="Completed"/>
    <s v="Rejected"/>
    <m/>
    <s v="Not Applicable"/>
    <m/>
    <n v="10"/>
    <m/>
    <m/>
    <x v="1"/>
    <n v="0"/>
  </r>
  <r>
    <s v="CAND0564"/>
    <s v="Riya Mehta"/>
    <x v="123"/>
    <x v="4"/>
    <x v="2"/>
    <x v="2"/>
    <x v="0"/>
    <x v="3"/>
    <s v="Passed"/>
    <s v="Round 1"/>
    <d v="2026-08-27T00:00:00"/>
    <s v="Completed"/>
    <s v="Rejected"/>
    <m/>
    <s v="Not Applicable"/>
    <m/>
    <n v="11"/>
    <m/>
    <m/>
    <x v="1"/>
    <n v="0"/>
  </r>
  <r>
    <s v="CAND0565"/>
    <s v="Vivaan Chauhan"/>
    <x v="149"/>
    <x v="3"/>
    <x v="1"/>
    <x v="4"/>
    <x v="2"/>
    <x v="3"/>
    <s v="Rejected"/>
    <s v="Not Applicable"/>
    <m/>
    <s v="Not Applicable"/>
    <s v="Rejected"/>
    <m/>
    <s v="Not Applicable"/>
    <m/>
    <m/>
    <m/>
    <m/>
    <x v="1"/>
    <n v="0"/>
  </r>
  <r>
    <s v="CAND0566"/>
    <s v="Rohan Mehta"/>
    <x v="120"/>
    <x v="1"/>
    <x v="1"/>
    <x v="3"/>
    <x v="5"/>
    <x v="2"/>
    <s v="Passed"/>
    <s v="Round 1"/>
    <d v="2026-05-08T00:00:00"/>
    <s v="Completed"/>
    <s v="Rejected"/>
    <m/>
    <s v="Not Applicable"/>
    <m/>
    <n v="14"/>
    <m/>
    <m/>
    <x v="1"/>
    <n v="0"/>
  </r>
  <r>
    <s v="CAND0567"/>
    <s v="Arjun Sharma"/>
    <x v="116"/>
    <x v="4"/>
    <x v="2"/>
    <x v="0"/>
    <x v="0"/>
    <x v="4"/>
    <s v="Passed"/>
    <s v="Not Applicable"/>
    <m/>
    <s v="Not Scheduled"/>
    <s v="In Process"/>
    <m/>
    <s v="Not Applicable"/>
    <m/>
    <m/>
    <m/>
    <m/>
    <x v="2"/>
    <n v="0"/>
  </r>
  <r>
    <s v="CAND0568"/>
    <s v="Kabir Sinha"/>
    <x v="38"/>
    <x v="2"/>
    <x v="2"/>
    <x v="4"/>
    <x v="3"/>
    <x v="3"/>
    <s v="Passed"/>
    <s v="Round 1"/>
    <d v="2026-10-13T00:00:00"/>
    <s v="Completed"/>
    <s v="Selected"/>
    <d v="2026-10-18T00:00:00"/>
    <s v="Offer Declined"/>
    <m/>
    <n v="13"/>
    <n v="5"/>
    <m/>
    <x v="0"/>
    <n v="1"/>
  </r>
  <r>
    <s v="CAND0569"/>
    <s v="Sana Kapoor"/>
    <x v="110"/>
    <x v="2"/>
    <x v="2"/>
    <x v="4"/>
    <x v="2"/>
    <x v="1"/>
    <s v="Rejected"/>
    <s v="Not Applicable"/>
    <m/>
    <s v="Not Applicable"/>
    <s v="Rejected"/>
    <m/>
    <s v="Not Applicable"/>
    <m/>
    <m/>
    <m/>
    <m/>
    <x v="1"/>
    <n v="0"/>
  </r>
  <r>
    <s v="CAND0570"/>
    <s v="Sana Agarwal"/>
    <x v="29"/>
    <x v="1"/>
    <x v="1"/>
    <x v="4"/>
    <x v="0"/>
    <x v="1"/>
    <s v="Passed"/>
    <s v="Not Applicable"/>
    <m/>
    <s v="Not Scheduled"/>
    <s v="In Process"/>
    <m/>
    <s v="Not Applicable"/>
    <m/>
    <m/>
    <m/>
    <m/>
    <x v="2"/>
    <n v="0"/>
  </r>
  <r>
    <s v="CAND0571"/>
    <s v="Nisha Sharma"/>
    <x v="6"/>
    <x v="4"/>
    <x v="2"/>
    <x v="3"/>
    <x v="0"/>
    <x v="0"/>
    <s v="Passed"/>
    <s v="Not Applicable"/>
    <m/>
    <s v="Not Scheduled"/>
    <s v="In Process"/>
    <m/>
    <s v="Not Applicable"/>
    <m/>
    <m/>
    <m/>
    <m/>
    <x v="2"/>
    <n v="0"/>
  </r>
  <r>
    <s v="CAND0572"/>
    <s v="Ishaan Joshi"/>
    <x v="70"/>
    <x v="0"/>
    <x v="0"/>
    <x v="2"/>
    <x v="5"/>
    <x v="2"/>
    <s v="Passed"/>
    <s v="Not Applicable"/>
    <m/>
    <s v="Not Scheduled"/>
    <s v="In Process"/>
    <m/>
    <s v="Not Applicable"/>
    <m/>
    <m/>
    <m/>
    <m/>
    <x v="2"/>
    <n v="0"/>
  </r>
  <r>
    <s v="CAND0573"/>
    <s v="Ishaan Malhotra"/>
    <x v="228"/>
    <x v="0"/>
    <x v="0"/>
    <x v="4"/>
    <x v="5"/>
    <x v="2"/>
    <s v="Rejected"/>
    <s v="Not Applicable"/>
    <m/>
    <s v="Not Applicable"/>
    <s v="Rejected"/>
    <m/>
    <s v="Not Applicable"/>
    <m/>
    <m/>
    <m/>
    <m/>
    <x v="1"/>
    <n v="0"/>
  </r>
  <r>
    <s v="CAND0574"/>
    <s v="Diya Gupta"/>
    <x v="47"/>
    <x v="4"/>
    <x v="2"/>
    <x v="3"/>
    <x v="0"/>
    <x v="3"/>
    <s v="Passed"/>
    <s v="Round 1"/>
    <d v="2026-05-26T00:00:00"/>
    <s v="Completed"/>
    <s v="Rejected"/>
    <m/>
    <s v="Not Applicable"/>
    <m/>
    <n v="12"/>
    <m/>
    <m/>
    <x v="1"/>
    <n v="0"/>
  </r>
  <r>
    <s v="CAND0575"/>
    <s v="Aarav Sinha"/>
    <x v="71"/>
    <x v="2"/>
    <x v="2"/>
    <x v="2"/>
    <x v="1"/>
    <x v="2"/>
    <s v="Passed"/>
    <s v="Round 1"/>
    <d v="2026-03-19T00:00:00"/>
    <s v="Completed"/>
    <s v="Rejected"/>
    <m/>
    <s v="Not Applicable"/>
    <m/>
    <n v="15"/>
    <m/>
    <m/>
    <x v="1"/>
    <n v="0"/>
  </r>
  <r>
    <s v="CAND0576"/>
    <s v="Vivaan Gupta"/>
    <x v="232"/>
    <x v="3"/>
    <x v="1"/>
    <x v="4"/>
    <x v="5"/>
    <x v="1"/>
    <s v="Passed"/>
    <s v="Round 1"/>
    <d v="2026-03-23T00:00:00"/>
    <s v="Completed"/>
    <s v="Selected"/>
    <d v="2026-03-30T00:00:00"/>
    <s v="Joined"/>
    <d v="2026-04-24T00:00:00"/>
    <n v="4"/>
    <n v="7"/>
    <n v="25"/>
    <x v="0"/>
    <n v="1"/>
  </r>
  <r>
    <s v="CAND0577"/>
    <s v="Rohan Sinha"/>
    <x v="205"/>
    <x v="1"/>
    <x v="1"/>
    <x v="3"/>
    <x v="1"/>
    <x v="1"/>
    <s v="Passed"/>
    <s v="Round 1"/>
    <d v="2026-07-23T00:00:00"/>
    <s v="Completed"/>
    <s v="Rejected"/>
    <m/>
    <s v="Not Applicable"/>
    <m/>
    <n v="17"/>
    <m/>
    <m/>
    <x v="1"/>
    <n v="0"/>
  </r>
  <r>
    <s v="CAND0578"/>
    <s v="Sana Rao"/>
    <x v="1"/>
    <x v="2"/>
    <x v="2"/>
    <x v="0"/>
    <x v="0"/>
    <x v="0"/>
    <s v="Passed"/>
    <s v="Round 1"/>
    <d v="2026-07-20T00:00:00"/>
    <s v="Completed"/>
    <s v="Rejected"/>
    <m/>
    <s v="Not Applicable"/>
    <m/>
    <n v="9"/>
    <m/>
    <m/>
    <x v="1"/>
    <n v="0"/>
  </r>
  <r>
    <s v="CAND0579"/>
    <s v="Kabir Mishra"/>
    <x v="213"/>
    <x v="2"/>
    <x v="2"/>
    <x v="0"/>
    <x v="4"/>
    <x v="3"/>
    <s v="Passed"/>
    <s v="Not Applicable"/>
    <m/>
    <s v="Not Scheduled"/>
    <s v="In Process"/>
    <m/>
    <s v="Not Applicable"/>
    <m/>
    <m/>
    <m/>
    <m/>
    <x v="2"/>
    <n v="0"/>
  </r>
  <r>
    <s v="CAND0580"/>
    <s v="Ananya Patel"/>
    <x v="105"/>
    <x v="4"/>
    <x v="2"/>
    <x v="4"/>
    <x v="1"/>
    <x v="4"/>
    <s v="Passed"/>
    <s v="Not Applicable"/>
    <m/>
    <s v="Not Scheduled"/>
    <s v="In Process"/>
    <m/>
    <s v="Not Applicable"/>
    <m/>
    <m/>
    <m/>
    <m/>
    <x v="2"/>
    <n v="0"/>
  </r>
  <r>
    <s v="CAND0581"/>
    <s v="Aanya Mishra"/>
    <x v="146"/>
    <x v="4"/>
    <x v="2"/>
    <x v="5"/>
    <x v="5"/>
    <x v="2"/>
    <s v="Rejected"/>
    <s v="Not Applicable"/>
    <m/>
    <s v="Not Applicable"/>
    <s v="Rejected"/>
    <m/>
    <s v="Not Applicable"/>
    <m/>
    <m/>
    <m/>
    <m/>
    <x v="1"/>
    <n v="0"/>
  </r>
  <r>
    <s v="CAND0582"/>
    <s v="Rahul Sinha"/>
    <x v="141"/>
    <x v="4"/>
    <x v="2"/>
    <x v="4"/>
    <x v="2"/>
    <x v="3"/>
    <s v="Passed"/>
    <s v="Round 1"/>
    <d v="2026-09-02T00:00:00"/>
    <s v="Completed"/>
    <s v="Rejected"/>
    <m/>
    <s v="Not Applicable"/>
    <m/>
    <n v="7"/>
    <m/>
    <m/>
    <x v="1"/>
    <n v="0"/>
  </r>
  <r>
    <s v="CAND0583"/>
    <s v="Priya Agarwal"/>
    <x v="146"/>
    <x v="0"/>
    <x v="0"/>
    <x v="1"/>
    <x v="2"/>
    <x v="3"/>
    <s v="Rejected"/>
    <s v="Not Applicable"/>
    <m/>
    <s v="Not Applicable"/>
    <s v="Rejected"/>
    <m/>
    <s v="Not Applicable"/>
    <m/>
    <m/>
    <m/>
    <m/>
    <x v="1"/>
    <n v="0"/>
  </r>
  <r>
    <s v="CAND0584"/>
    <s v="Arjun Agarwal"/>
    <x v="113"/>
    <x v="2"/>
    <x v="2"/>
    <x v="3"/>
    <x v="4"/>
    <x v="1"/>
    <s v="Passed"/>
    <s v="Round 1"/>
    <d v="2026-09-27T00:00:00"/>
    <s v="Completed"/>
    <s v="Rejected"/>
    <m/>
    <s v="Not Applicable"/>
    <m/>
    <n v="8"/>
    <m/>
    <m/>
    <x v="1"/>
    <n v="0"/>
  </r>
  <r>
    <s v="CAND0585"/>
    <s v="Kavya Khan"/>
    <x v="49"/>
    <x v="3"/>
    <x v="1"/>
    <x v="2"/>
    <x v="4"/>
    <x v="0"/>
    <s v="Rejected"/>
    <s v="Not Applicable"/>
    <m/>
    <s v="Not Applicable"/>
    <s v="Rejected"/>
    <m/>
    <s v="Not Applicable"/>
    <m/>
    <m/>
    <m/>
    <m/>
    <x v="1"/>
    <n v="0"/>
  </r>
  <r>
    <s v="CAND0586"/>
    <s v="Aanya Patel"/>
    <x v="176"/>
    <x v="2"/>
    <x v="2"/>
    <x v="5"/>
    <x v="0"/>
    <x v="4"/>
    <s v="Passed"/>
    <s v="Not Applicable"/>
    <m/>
    <s v="Not Scheduled"/>
    <s v="In Process"/>
    <m/>
    <s v="Not Applicable"/>
    <m/>
    <m/>
    <m/>
    <m/>
    <x v="2"/>
    <n v="0"/>
  </r>
  <r>
    <s v="CAND0587"/>
    <s v="Nisha Agarwal"/>
    <x v="5"/>
    <x v="1"/>
    <x v="1"/>
    <x v="4"/>
    <x v="0"/>
    <x v="3"/>
    <s v="Rejected"/>
    <s v="Not Applicable"/>
    <m/>
    <s v="Not Applicable"/>
    <s v="Rejected"/>
    <m/>
    <s v="Not Applicable"/>
    <m/>
    <m/>
    <m/>
    <m/>
    <x v="1"/>
    <n v="0"/>
  </r>
  <r>
    <s v="CAND0588"/>
    <s v="Sana Agarwal"/>
    <x v="116"/>
    <x v="1"/>
    <x v="1"/>
    <x v="1"/>
    <x v="1"/>
    <x v="4"/>
    <s v="Passed"/>
    <s v="Round 1"/>
    <d v="2026-05-14T00:00:00"/>
    <s v="Completed"/>
    <s v="Selected"/>
    <d v="2026-05-17T00:00:00"/>
    <s v="Joined"/>
    <d v="2026-06-09T00:00:00"/>
    <n v="14"/>
    <n v="3"/>
    <n v="23"/>
    <x v="0"/>
    <n v="1"/>
  </r>
  <r>
    <s v="CAND0589"/>
    <s v="Ishaan Kapoor"/>
    <x v="149"/>
    <x v="1"/>
    <x v="1"/>
    <x v="0"/>
    <x v="1"/>
    <x v="4"/>
    <s v="Passed"/>
    <s v="Not Applicable"/>
    <m/>
    <s v="Not Scheduled"/>
    <s v="In Process"/>
    <m/>
    <s v="Not Applicable"/>
    <m/>
    <m/>
    <m/>
    <m/>
    <x v="2"/>
    <n v="0"/>
  </r>
  <r>
    <s v="CAND0590"/>
    <s v="Reyansh Sinha"/>
    <x v="111"/>
    <x v="3"/>
    <x v="1"/>
    <x v="2"/>
    <x v="0"/>
    <x v="1"/>
    <s v="Passed"/>
    <s v="Round 1"/>
    <d v="2026-08-18T00:00:00"/>
    <s v="Completed"/>
    <s v="Rejected"/>
    <m/>
    <s v="Not Applicable"/>
    <m/>
    <n v="17"/>
    <m/>
    <m/>
    <x v="1"/>
    <n v="0"/>
  </r>
  <r>
    <s v="CAND0591"/>
    <s v="Arjun Sharma"/>
    <x v="233"/>
    <x v="3"/>
    <x v="1"/>
    <x v="0"/>
    <x v="0"/>
    <x v="3"/>
    <s v="Rejected"/>
    <s v="Not Applicable"/>
    <m/>
    <s v="Not Applicable"/>
    <s v="Rejected"/>
    <m/>
    <s v="Not Applicable"/>
    <m/>
    <m/>
    <m/>
    <m/>
    <x v="1"/>
    <n v="0"/>
  </r>
  <r>
    <s v="CAND0592"/>
    <s v="Kavya Mehta"/>
    <x v="169"/>
    <x v="0"/>
    <x v="0"/>
    <x v="3"/>
    <x v="5"/>
    <x v="0"/>
    <s v="Passed"/>
    <s v="Round 1"/>
    <d v="2026-01-18T00:00:00"/>
    <s v="Completed"/>
    <s v="Selected"/>
    <d v="2026-01-24T00:00:00"/>
    <s v="Joined"/>
    <d v="2026-02-10T00:00:00"/>
    <n v="5"/>
    <n v="6"/>
    <n v="17"/>
    <x v="0"/>
    <n v="1"/>
  </r>
  <r>
    <s v="CAND0593"/>
    <s v="Kavya Sinha"/>
    <x v="207"/>
    <x v="4"/>
    <x v="2"/>
    <x v="4"/>
    <x v="1"/>
    <x v="0"/>
    <s v="Passed"/>
    <s v="Round 1"/>
    <d v="2026-05-07T00:00:00"/>
    <s v="Completed"/>
    <s v="Selected"/>
    <d v="2026-05-12T00:00:00"/>
    <s v="Offer Declined"/>
    <m/>
    <n v="15"/>
    <n v="5"/>
    <m/>
    <x v="0"/>
    <n v="1"/>
  </r>
  <r>
    <s v="CAND0594"/>
    <s v="Diya Khan"/>
    <x v="139"/>
    <x v="2"/>
    <x v="2"/>
    <x v="0"/>
    <x v="5"/>
    <x v="1"/>
    <s v="Passed"/>
    <s v="Round 1"/>
    <d v="2026-09-23T00:00:00"/>
    <s v="Completed"/>
    <s v="Rejected"/>
    <m/>
    <s v="Not Applicable"/>
    <m/>
    <n v="8"/>
    <m/>
    <m/>
    <x v="1"/>
    <n v="0"/>
  </r>
  <r>
    <s v="CAND0595"/>
    <s v="Meera Gupta"/>
    <x v="188"/>
    <x v="2"/>
    <x v="2"/>
    <x v="4"/>
    <x v="5"/>
    <x v="1"/>
    <s v="Rejected"/>
    <s v="Not Applicable"/>
    <m/>
    <s v="Not Applicable"/>
    <s v="Rejected"/>
    <m/>
    <s v="Not Applicable"/>
    <m/>
    <m/>
    <m/>
    <m/>
    <x v="1"/>
    <n v="0"/>
  </r>
  <r>
    <s v="CAND0596"/>
    <s v="Riya Sinha"/>
    <x v="14"/>
    <x v="5"/>
    <x v="1"/>
    <x v="1"/>
    <x v="0"/>
    <x v="0"/>
    <s v="Rejected"/>
    <s v="Not Applicable"/>
    <m/>
    <s v="Not Applicable"/>
    <s v="Rejected"/>
    <m/>
    <s v="Not Applicable"/>
    <m/>
    <m/>
    <m/>
    <m/>
    <x v="1"/>
    <n v="0"/>
  </r>
  <r>
    <s v="CAND0597"/>
    <s v="Arjun Kapoor"/>
    <x v="218"/>
    <x v="5"/>
    <x v="1"/>
    <x v="4"/>
    <x v="2"/>
    <x v="3"/>
    <s v="Passed"/>
    <s v="Not Applicable"/>
    <m/>
    <s v="Not Scheduled"/>
    <s v="In Process"/>
    <m/>
    <s v="Not Applicable"/>
    <m/>
    <m/>
    <m/>
    <m/>
    <x v="2"/>
    <n v="0"/>
  </r>
  <r>
    <s v="CAND0598"/>
    <s v="Sana Patel"/>
    <x v="202"/>
    <x v="2"/>
    <x v="2"/>
    <x v="1"/>
    <x v="0"/>
    <x v="0"/>
    <s v="Passed"/>
    <s v="Round 1"/>
    <d v="2026-06-16T00:00:00"/>
    <s v="Completed"/>
    <s v="Rejected"/>
    <m/>
    <s v="Not Applicable"/>
    <m/>
    <n v="8"/>
    <m/>
    <m/>
    <x v="1"/>
    <n v="0"/>
  </r>
  <r>
    <s v="CAND0599"/>
    <s v="Ananya Agarwal"/>
    <x v="37"/>
    <x v="2"/>
    <x v="2"/>
    <x v="3"/>
    <x v="3"/>
    <x v="2"/>
    <s v="Passed"/>
    <s v="Not Applicable"/>
    <m/>
    <s v="Not Scheduled"/>
    <s v="In Process"/>
    <m/>
    <s v="Not Applicable"/>
    <m/>
    <m/>
    <m/>
    <m/>
    <x v="2"/>
    <n v="0"/>
  </r>
  <r>
    <s v="CAND0600"/>
    <s v="Rohan Chauhan"/>
    <x v="105"/>
    <x v="3"/>
    <x v="1"/>
    <x v="0"/>
    <x v="4"/>
    <x v="3"/>
    <s v="Passed"/>
    <s v="Not Applicable"/>
    <m/>
    <s v="Not Scheduled"/>
    <s v="In Process"/>
    <m/>
    <s v="Not Applicable"/>
    <m/>
    <m/>
    <m/>
    <m/>
    <x v="2"/>
    <n v="0"/>
  </r>
  <r>
    <s v="CAND0601"/>
    <s v="Riya Kapoor"/>
    <x v="234"/>
    <x v="5"/>
    <x v="1"/>
    <x v="4"/>
    <x v="0"/>
    <x v="1"/>
    <s v="Rejected"/>
    <s v="Not Applicable"/>
    <m/>
    <s v="Not Applicable"/>
    <s v="Rejected"/>
    <m/>
    <s v="Not Applicable"/>
    <m/>
    <m/>
    <m/>
    <m/>
    <x v="1"/>
    <n v="0"/>
  </r>
  <r>
    <s v="CAND0602"/>
    <s v="Ananya Singh"/>
    <x v="235"/>
    <x v="3"/>
    <x v="1"/>
    <x v="2"/>
    <x v="2"/>
    <x v="0"/>
    <s v="Rejected"/>
    <s v="Not Applicable"/>
    <m/>
    <s v="Not Applicable"/>
    <s v="Rejected"/>
    <m/>
    <s v="Not Applicable"/>
    <m/>
    <m/>
    <m/>
    <m/>
    <x v="1"/>
    <n v="0"/>
  </r>
  <r>
    <s v="CAND0603"/>
    <s v="Diya Verma"/>
    <x v="71"/>
    <x v="4"/>
    <x v="2"/>
    <x v="1"/>
    <x v="0"/>
    <x v="0"/>
    <s v="Rejected"/>
    <s v="Not Applicable"/>
    <m/>
    <s v="Not Applicable"/>
    <s v="Rejected"/>
    <m/>
    <s v="Not Applicable"/>
    <m/>
    <m/>
    <m/>
    <m/>
    <x v="1"/>
    <n v="0"/>
  </r>
  <r>
    <s v="CAND0604"/>
    <s v="Aditya Joshi"/>
    <x v="236"/>
    <x v="3"/>
    <x v="1"/>
    <x v="4"/>
    <x v="3"/>
    <x v="2"/>
    <s v="Passed"/>
    <s v="Round 1"/>
    <d v="2026-08-09T00:00:00"/>
    <s v="Completed"/>
    <s v="Rejected"/>
    <m/>
    <s v="Not Applicable"/>
    <m/>
    <n v="14"/>
    <m/>
    <m/>
    <x v="1"/>
    <n v="0"/>
  </r>
  <r>
    <s v="CAND0605"/>
    <s v="Karan Gupta"/>
    <x v="96"/>
    <x v="4"/>
    <x v="2"/>
    <x v="2"/>
    <x v="0"/>
    <x v="1"/>
    <s v="Rejected"/>
    <s v="Not Applicable"/>
    <m/>
    <s v="Not Applicable"/>
    <s v="Rejected"/>
    <m/>
    <s v="Not Applicable"/>
    <m/>
    <m/>
    <m/>
    <m/>
    <x v="1"/>
    <n v="0"/>
  </r>
  <r>
    <s v="CAND0606"/>
    <s v="Priya Malhotra"/>
    <x v="16"/>
    <x v="3"/>
    <x v="1"/>
    <x v="4"/>
    <x v="3"/>
    <x v="3"/>
    <s v="Passed"/>
    <s v="Not Applicable"/>
    <m/>
    <s v="Not Scheduled"/>
    <s v="In Process"/>
    <m/>
    <s v="Not Applicable"/>
    <m/>
    <m/>
    <m/>
    <m/>
    <x v="2"/>
    <n v="0"/>
  </r>
  <r>
    <s v="CAND0607"/>
    <s v="Priya Patel"/>
    <x v="237"/>
    <x v="4"/>
    <x v="2"/>
    <x v="1"/>
    <x v="4"/>
    <x v="1"/>
    <s v="Passed"/>
    <s v="Not Applicable"/>
    <m/>
    <s v="Not Scheduled"/>
    <s v="In Process"/>
    <m/>
    <s v="Not Applicable"/>
    <m/>
    <m/>
    <m/>
    <m/>
    <x v="2"/>
    <n v="0"/>
  </r>
  <r>
    <s v="CAND0608"/>
    <s v="Sana Chauhan"/>
    <x v="120"/>
    <x v="1"/>
    <x v="1"/>
    <x v="4"/>
    <x v="1"/>
    <x v="0"/>
    <s v="Passed"/>
    <s v="Not Applicable"/>
    <m/>
    <s v="Not Scheduled"/>
    <s v="In Process"/>
    <m/>
    <s v="Not Applicable"/>
    <m/>
    <m/>
    <m/>
    <m/>
    <x v="2"/>
    <n v="0"/>
  </r>
  <r>
    <s v="CAND0609"/>
    <s v="Nisha Joshi"/>
    <x v="17"/>
    <x v="1"/>
    <x v="1"/>
    <x v="4"/>
    <x v="1"/>
    <x v="2"/>
    <s v="Rejected"/>
    <s v="Not Applicable"/>
    <m/>
    <s v="Not Applicable"/>
    <s v="Rejected"/>
    <m/>
    <s v="Not Applicable"/>
    <m/>
    <m/>
    <m/>
    <m/>
    <x v="1"/>
    <n v="0"/>
  </r>
  <r>
    <s v="CAND0610"/>
    <s v="Aanya Mishra"/>
    <x v="13"/>
    <x v="2"/>
    <x v="2"/>
    <x v="4"/>
    <x v="0"/>
    <x v="1"/>
    <s v="Rejected"/>
    <s v="Not Applicable"/>
    <m/>
    <s v="Not Applicable"/>
    <s v="Rejected"/>
    <m/>
    <s v="Not Applicable"/>
    <m/>
    <m/>
    <m/>
    <m/>
    <x v="1"/>
    <n v="0"/>
  </r>
  <r>
    <s v="CAND0611"/>
    <s v="Kabir Agarwal"/>
    <x v="56"/>
    <x v="2"/>
    <x v="2"/>
    <x v="5"/>
    <x v="5"/>
    <x v="0"/>
    <s v="Passed"/>
    <s v="Round 1"/>
    <d v="2026-09-16T00:00:00"/>
    <s v="Completed"/>
    <s v="Rejected"/>
    <m/>
    <s v="Not Applicable"/>
    <m/>
    <n v="10"/>
    <m/>
    <m/>
    <x v="1"/>
    <n v="0"/>
  </r>
  <r>
    <s v="CAND0612"/>
    <s v="Ishaan Joshi"/>
    <x v="72"/>
    <x v="0"/>
    <x v="0"/>
    <x v="4"/>
    <x v="3"/>
    <x v="4"/>
    <s v="Rejected"/>
    <s v="Not Applicable"/>
    <m/>
    <s v="Not Applicable"/>
    <s v="Rejected"/>
    <m/>
    <s v="Not Applicable"/>
    <m/>
    <m/>
    <m/>
    <m/>
    <x v="1"/>
    <n v="0"/>
  </r>
  <r>
    <s v="CAND0613"/>
    <s v="Ananya Chauhan"/>
    <x v="122"/>
    <x v="0"/>
    <x v="0"/>
    <x v="4"/>
    <x v="0"/>
    <x v="2"/>
    <s v="Passed"/>
    <s v="Round 1"/>
    <d v="2026-04-04T00:00:00"/>
    <s v="Completed"/>
    <s v="Rejected"/>
    <m/>
    <s v="Not Applicable"/>
    <m/>
    <n v="9"/>
    <m/>
    <m/>
    <x v="1"/>
    <n v="0"/>
  </r>
  <r>
    <s v="CAND0614"/>
    <s v="Ananya Sharma"/>
    <x v="23"/>
    <x v="0"/>
    <x v="0"/>
    <x v="0"/>
    <x v="0"/>
    <x v="4"/>
    <s v="Rejected"/>
    <s v="Not Applicable"/>
    <m/>
    <s v="Not Applicable"/>
    <s v="Rejected"/>
    <m/>
    <s v="Not Applicable"/>
    <m/>
    <m/>
    <m/>
    <m/>
    <x v="1"/>
    <n v="0"/>
  </r>
  <r>
    <s v="CAND0615"/>
    <s v="Riya Kapoor"/>
    <x v="126"/>
    <x v="5"/>
    <x v="1"/>
    <x v="5"/>
    <x v="2"/>
    <x v="2"/>
    <s v="Passed"/>
    <s v="Not Applicable"/>
    <m/>
    <s v="Not Scheduled"/>
    <s v="In Process"/>
    <m/>
    <s v="Not Applicable"/>
    <m/>
    <m/>
    <m/>
    <m/>
    <x v="2"/>
    <n v="0"/>
  </r>
  <r>
    <s v="CAND0616"/>
    <s v="Nisha Sharma"/>
    <x v="141"/>
    <x v="5"/>
    <x v="1"/>
    <x v="4"/>
    <x v="5"/>
    <x v="1"/>
    <s v="Passed"/>
    <s v="Round 1"/>
    <d v="2026-09-07T00:00:00"/>
    <s v="Completed"/>
    <s v="Rejected"/>
    <m/>
    <s v="Not Applicable"/>
    <m/>
    <n v="12"/>
    <m/>
    <m/>
    <x v="1"/>
    <n v="0"/>
  </r>
  <r>
    <s v="CAND0617"/>
    <s v="Diya Patel"/>
    <x v="231"/>
    <x v="4"/>
    <x v="2"/>
    <x v="2"/>
    <x v="2"/>
    <x v="3"/>
    <s v="Rejected"/>
    <s v="Not Applicable"/>
    <m/>
    <s v="Not Applicable"/>
    <s v="Rejected"/>
    <m/>
    <s v="Not Applicable"/>
    <m/>
    <m/>
    <m/>
    <m/>
    <x v="1"/>
    <n v="0"/>
  </r>
  <r>
    <s v="CAND0618"/>
    <s v="Vivaan Singh"/>
    <x v="170"/>
    <x v="2"/>
    <x v="2"/>
    <x v="5"/>
    <x v="0"/>
    <x v="3"/>
    <s v="Passed"/>
    <s v="Round 1"/>
    <d v="2026-03-12T00:00:00"/>
    <s v="Completed"/>
    <s v="Rejected"/>
    <m/>
    <s v="Not Applicable"/>
    <m/>
    <n v="16"/>
    <m/>
    <m/>
    <x v="1"/>
    <n v="0"/>
  </r>
  <r>
    <s v="CAND0619"/>
    <s v="Arjun Singh"/>
    <x v="238"/>
    <x v="4"/>
    <x v="2"/>
    <x v="1"/>
    <x v="1"/>
    <x v="3"/>
    <s v="Passed"/>
    <s v="Round 1"/>
    <d v="2026-08-16T00:00:00"/>
    <s v="Completed"/>
    <s v="Rejected"/>
    <m/>
    <s v="Not Applicable"/>
    <m/>
    <n v="17"/>
    <m/>
    <m/>
    <x v="1"/>
    <n v="0"/>
  </r>
  <r>
    <s v="CAND0620"/>
    <s v="Reyansh Sinha"/>
    <x v="78"/>
    <x v="2"/>
    <x v="2"/>
    <x v="5"/>
    <x v="2"/>
    <x v="4"/>
    <s v="Rejected"/>
    <s v="Not Applicable"/>
    <m/>
    <s v="Not Applicable"/>
    <s v="Rejected"/>
    <m/>
    <s v="Not Applicable"/>
    <m/>
    <m/>
    <m/>
    <m/>
    <x v="1"/>
    <n v="0"/>
  </r>
  <r>
    <s v="CAND0621"/>
    <s v="Kavya Agarwal"/>
    <x v="84"/>
    <x v="2"/>
    <x v="2"/>
    <x v="4"/>
    <x v="2"/>
    <x v="1"/>
    <s v="Passed"/>
    <s v="Not Applicable"/>
    <m/>
    <s v="Not Scheduled"/>
    <s v="In Process"/>
    <m/>
    <s v="Not Applicable"/>
    <m/>
    <m/>
    <m/>
    <m/>
    <x v="2"/>
    <n v="0"/>
  </r>
  <r>
    <s v="CAND0622"/>
    <s v="Karan Chauhan"/>
    <x v="239"/>
    <x v="4"/>
    <x v="2"/>
    <x v="0"/>
    <x v="0"/>
    <x v="3"/>
    <s v="Passed"/>
    <s v="Round 1"/>
    <d v="2026-03-13T00:00:00"/>
    <s v="Completed"/>
    <s v="Rejected"/>
    <m/>
    <s v="Not Applicable"/>
    <m/>
    <n v="15"/>
    <m/>
    <m/>
    <x v="1"/>
    <n v="0"/>
  </r>
  <r>
    <s v="CAND0623"/>
    <s v="Priya Sinha"/>
    <x v="128"/>
    <x v="0"/>
    <x v="0"/>
    <x v="2"/>
    <x v="1"/>
    <x v="1"/>
    <s v="Rejected"/>
    <s v="Not Applicable"/>
    <m/>
    <s v="Not Applicable"/>
    <s v="Rejected"/>
    <m/>
    <s v="Not Applicable"/>
    <m/>
    <m/>
    <m/>
    <m/>
    <x v="1"/>
    <n v="0"/>
  </r>
  <r>
    <s v="CAND0624"/>
    <s v="Kavya Rao"/>
    <x v="119"/>
    <x v="3"/>
    <x v="1"/>
    <x v="4"/>
    <x v="0"/>
    <x v="1"/>
    <s v="Passed"/>
    <s v="Not Applicable"/>
    <m/>
    <s v="Not Scheduled"/>
    <s v="In Process"/>
    <m/>
    <s v="Not Applicable"/>
    <m/>
    <m/>
    <m/>
    <m/>
    <x v="2"/>
    <n v="0"/>
  </r>
  <r>
    <s v="CAND0625"/>
    <s v="Karan Joshi"/>
    <x v="160"/>
    <x v="1"/>
    <x v="1"/>
    <x v="1"/>
    <x v="0"/>
    <x v="2"/>
    <s v="Passed"/>
    <s v="Round 1"/>
    <d v="2026-06-28T00:00:00"/>
    <s v="Completed"/>
    <s v="Rejected"/>
    <m/>
    <s v="Not Applicable"/>
    <m/>
    <n v="12"/>
    <m/>
    <m/>
    <x v="1"/>
    <n v="0"/>
  </r>
  <r>
    <s v="CAND0626"/>
    <s v="Ishaan Gupta"/>
    <x v="214"/>
    <x v="1"/>
    <x v="1"/>
    <x v="4"/>
    <x v="3"/>
    <x v="1"/>
    <s v="Rejected"/>
    <s v="Not Applicable"/>
    <m/>
    <s v="Not Applicable"/>
    <s v="Rejected"/>
    <m/>
    <s v="Not Applicable"/>
    <m/>
    <m/>
    <m/>
    <m/>
    <x v="1"/>
    <n v="0"/>
  </r>
  <r>
    <s v="CAND0627"/>
    <s v="Aarav Mishra"/>
    <x v="31"/>
    <x v="2"/>
    <x v="2"/>
    <x v="4"/>
    <x v="0"/>
    <x v="1"/>
    <s v="Passed"/>
    <s v="Round 1"/>
    <d v="2026-08-04T00:00:00"/>
    <s v="Completed"/>
    <s v="Rejected"/>
    <m/>
    <s v="Not Applicable"/>
    <m/>
    <n v="12"/>
    <m/>
    <m/>
    <x v="1"/>
    <n v="0"/>
  </r>
  <r>
    <s v="CAND0628"/>
    <s v="Kavya Verma"/>
    <x v="189"/>
    <x v="2"/>
    <x v="2"/>
    <x v="3"/>
    <x v="3"/>
    <x v="2"/>
    <s v="Passed"/>
    <s v="Not Applicable"/>
    <m/>
    <s v="Not Scheduled"/>
    <s v="In Process"/>
    <m/>
    <s v="Not Applicable"/>
    <m/>
    <m/>
    <m/>
    <m/>
    <x v="2"/>
    <n v="0"/>
  </r>
  <r>
    <s v="CAND0629"/>
    <s v="Ishaan Mishra"/>
    <x v="100"/>
    <x v="5"/>
    <x v="1"/>
    <x v="0"/>
    <x v="1"/>
    <x v="4"/>
    <s v="Rejected"/>
    <s v="Not Applicable"/>
    <m/>
    <s v="Not Applicable"/>
    <s v="Rejected"/>
    <m/>
    <s v="Not Applicable"/>
    <m/>
    <m/>
    <m/>
    <m/>
    <x v="1"/>
    <n v="0"/>
  </r>
  <r>
    <s v="CAND0630"/>
    <s v="Isha Patel"/>
    <x v="103"/>
    <x v="2"/>
    <x v="2"/>
    <x v="3"/>
    <x v="1"/>
    <x v="2"/>
    <s v="Rejected"/>
    <s v="Not Applicable"/>
    <m/>
    <s v="Not Applicable"/>
    <s v="Rejected"/>
    <m/>
    <s v="Not Applicable"/>
    <m/>
    <m/>
    <m/>
    <m/>
    <x v="1"/>
    <n v="0"/>
  </r>
  <r>
    <s v="CAND0631"/>
    <s v="Ishaan Sinha"/>
    <x v="118"/>
    <x v="5"/>
    <x v="1"/>
    <x v="5"/>
    <x v="5"/>
    <x v="2"/>
    <s v="Passed"/>
    <s v="Round 1"/>
    <d v="2026-07-01T00:00:00"/>
    <s v="Completed"/>
    <s v="Rejected"/>
    <m/>
    <s v="Not Applicable"/>
    <m/>
    <n v="4"/>
    <m/>
    <m/>
    <x v="1"/>
    <n v="0"/>
  </r>
  <r>
    <s v="CAND0632"/>
    <s v="Diya Singh"/>
    <x v="180"/>
    <x v="2"/>
    <x v="2"/>
    <x v="4"/>
    <x v="4"/>
    <x v="3"/>
    <s v="Passed"/>
    <s v="Not Applicable"/>
    <m/>
    <s v="Not Scheduled"/>
    <s v="In Process"/>
    <m/>
    <s v="Not Applicable"/>
    <m/>
    <m/>
    <m/>
    <m/>
    <x v="2"/>
    <n v="0"/>
  </r>
  <r>
    <s v="CAND0633"/>
    <s v="Aanya Mehta"/>
    <x v="187"/>
    <x v="1"/>
    <x v="1"/>
    <x v="2"/>
    <x v="2"/>
    <x v="1"/>
    <s v="Passed"/>
    <s v="Round 1"/>
    <d v="2026-02-04T00:00:00"/>
    <s v="Completed"/>
    <s v="Rejected"/>
    <m/>
    <s v="Not Applicable"/>
    <m/>
    <n v="11"/>
    <m/>
    <m/>
    <x v="1"/>
    <n v="0"/>
  </r>
  <r>
    <s v="CAND0634"/>
    <s v="Vivaan Mehta"/>
    <x v="74"/>
    <x v="3"/>
    <x v="1"/>
    <x v="2"/>
    <x v="4"/>
    <x v="3"/>
    <s v="Rejected"/>
    <s v="Not Applicable"/>
    <m/>
    <s v="Not Applicable"/>
    <s v="Rejected"/>
    <m/>
    <s v="Not Applicable"/>
    <m/>
    <m/>
    <m/>
    <m/>
    <x v="1"/>
    <n v="0"/>
  </r>
  <r>
    <s v="CAND0635"/>
    <s v="Aanya Kapoor"/>
    <x v="196"/>
    <x v="5"/>
    <x v="1"/>
    <x v="3"/>
    <x v="5"/>
    <x v="2"/>
    <s v="Passed"/>
    <s v="Round 1"/>
    <d v="2026-04-02T00:00:00"/>
    <s v="Completed"/>
    <s v="Rejected"/>
    <m/>
    <s v="Not Applicable"/>
    <m/>
    <n v="15"/>
    <m/>
    <m/>
    <x v="1"/>
    <n v="0"/>
  </r>
  <r>
    <s v="CAND0636"/>
    <s v="Diya Kapoor"/>
    <x v="40"/>
    <x v="4"/>
    <x v="2"/>
    <x v="4"/>
    <x v="3"/>
    <x v="0"/>
    <s v="Rejected"/>
    <s v="Not Applicable"/>
    <m/>
    <s v="Not Applicable"/>
    <s v="Rejected"/>
    <m/>
    <s v="Not Applicable"/>
    <m/>
    <m/>
    <m/>
    <m/>
    <x v="1"/>
    <n v="0"/>
  </r>
  <r>
    <s v="CAND0637"/>
    <s v="Rahul Agarwal"/>
    <x v="239"/>
    <x v="0"/>
    <x v="0"/>
    <x v="4"/>
    <x v="1"/>
    <x v="3"/>
    <s v="Passed"/>
    <s v="Round 1"/>
    <d v="2026-03-06T00:00:00"/>
    <s v="Completed"/>
    <s v="Rejected"/>
    <m/>
    <s v="Not Applicable"/>
    <m/>
    <n v="8"/>
    <m/>
    <m/>
    <x v="1"/>
    <n v="0"/>
  </r>
  <r>
    <s v="CAND0638"/>
    <s v="Vivaan Verma"/>
    <x v="25"/>
    <x v="5"/>
    <x v="1"/>
    <x v="4"/>
    <x v="0"/>
    <x v="0"/>
    <s v="Passed"/>
    <s v="Round 1"/>
    <d v="2026-05-08T00:00:00"/>
    <s v="Completed"/>
    <s v="Rejected"/>
    <m/>
    <s v="Not Applicable"/>
    <m/>
    <n v="12"/>
    <m/>
    <m/>
    <x v="1"/>
    <n v="0"/>
  </r>
  <r>
    <s v="CAND0639"/>
    <s v="Rohan Verma"/>
    <x v="16"/>
    <x v="3"/>
    <x v="1"/>
    <x v="4"/>
    <x v="5"/>
    <x v="3"/>
    <s v="Rejected"/>
    <s v="Not Applicable"/>
    <m/>
    <s v="Not Applicable"/>
    <s v="Rejected"/>
    <m/>
    <s v="Not Applicable"/>
    <m/>
    <m/>
    <m/>
    <m/>
    <x v="1"/>
    <n v="0"/>
  </r>
  <r>
    <s v="CAND0640"/>
    <s v="Aarav Patel"/>
    <x v="165"/>
    <x v="4"/>
    <x v="2"/>
    <x v="4"/>
    <x v="5"/>
    <x v="0"/>
    <s v="Rejected"/>
    <s v="Not Applicable"/>
    <m/>
    <s v="Not Applicable"/>
    <s v="Rejected"/>
    <m/>
    <s v="Not Applicable"/>
    <m/>
    <m/>
    <m/>
    <m/>
    <x v="1"/>
    <n v="0"/>
  </r>
  <r>
    <s v="CAND0641"/>
    <s v="Nisha Chauhan"/>
    <x v="120"/>
    <x v="5"/>
    <x v="1"/>
    <x v="3"/>
    <x v="0"/>
    <x v="0"/>
    <s v="Rejected"/>
    <s v="Not Applicable"/>
    <m/>
    <s v="Not Applicable"/>
    <s v="Rejected"/>
    <m/>
    <s v="Not Applicable"/>
    <m/>
    <m/>
    <m/>
    <m/>
    <x v="1"/>
    <n v="0"/>
  </r>
  <r>
    <s v="CAND0642"/>
    <s v="Diya Mehta"/>
    <x v="57"/>
    <x v="3"/>
    <x v="1"/>
    <x v="5"/>
    <x v="5"/>
    <x v="4"/>
    <s v="Passed"/>
    <s v="Round 1"/>
    <d v="2026-05-23T00:00:00"/>
    <s v="Completed"/>
    <s v="Rejected"/>
    <m/>
    <s v="Not Applicable"/>
    <m/>
    <n v="5"/>
    <m/>
    <m/>
    <x v="1"/>
    <n v="0"/>
  </r>
  <r>
    <s v="CAND0643"/>
    <s v="Kabir Mishra"/>
    <x v="102"/>
    <x v="1"/>
    <x v="1"/>
    <x v="3"/>
    <x v="2"/>
    <x v="3"/>
    <s v="Passed"/>
    <s v="Round 1"/>
    <d v="2026-04-16T00:00:00"/>
    <s v="Completed"/>
    <s v="Selected"/>
    <d v="2026-04-23T00:00:00"/>
    <s v="Offer Declined"/>
    <m/>
    <n v="14"/>
    <n v="7"/>
    <m/>
    <x v="0"/>
    <n v="1"/>
  </r>
  <r>
    <s v="CAND0644"/>
    <s v="Nisha Mishra"/>
    <x v="133"/>
    <x v="1"/>
    <x v="1"/>
    <x v="1"/>
    <x v="5"/>
    <x v="3"/>
    <s v="Rejected"/>
    <s v="Not Applicable"/>
    <m/>
    <s v="Not Applicable"/>
    <s v="Rejected"/>
    <m/>
    <s v="Not Applicable"/>
    <m/>
    <m/>
    <m/>
    <m/>
    <x v="1"/>
    <n v="0"/>
  </r>
  <r>
    <s v="CAND0645"/>
    <s v="Aarav Khan"/>
    <x v="93"/>
    <x v="5"/>
    <x v="1"/>
    <x v="1"/>
    <x v="4"/>
    <x v="3"/>
    <s v="Passed"/>
    <s v="Not Applicable"/>
    <m/>
    <s v="Not Scheduled"/>
    <s v="In Process"/>
    <m/>
    <s v="Not Applicable"/>
    <m/>
    <m/>
    <m/>
    <m/>
    <x v="2"/>
    <n v="0"/>
  </r>
  <r>
    <s v="CAND0646"/>
    <s v="Aarav Chauhan"/>
    <x v="41"/>
    <x v="1"/>
    <x v="1"/>
    <x v="4"/>
    <x v="3"/>
    <x v="3"/>
    <s v="Rejected"/>
    <s v="Not Applicable"/>
    <m/>
    <s v="Not Applicable"/>
    <s v="Rejected"/>
    <m/>
    <s v="Not Applicable"/>
    <m/>
    <m/>
    <m/>
    <m/>
    <x v="1"/>
    <n v="0"/>
  </r>
  <r>
    <s v="CAND0647"/>
    <s v="Aanya Sinha"/>
    <x v="37"/>
    <x v="4"/>
    <x v="2"/>
    <x v="0"/>
    <x v="0"/>
    <x v="3"/>
    <s v="Passed"/>
    <s v="Round 1"/>
    <d v="2026-04-14T00:00:00"/>
    <s v="Completed"/>
    <s v="Rejected"/>
    <m/>
    <s v="Not Applicable"/>
    <m/>
    <n v="5"/>
    <m/>
    <m/>
    <x v="1"/>
    <n v="0"/>
  </r>
  <r>
    <s v="CAND0648"/>
    <s v="Riya Sharma"/>
    <x v="40"/>
    <x v="1"/>
    <x v="1"/>
    <x v="0"/>
    <x v="1"/>
    <x v="2"/>
    <s v="Passed"/>
    <s v="Round 1"/>
    <d v="2026-03-19T00:00:00"/>
    <s v="Completed"/>
    <s v="Rejected"/>
    <m/>
    <s v="Not Applicable"/>
    <m/>
    <n v="9"/>
    <m/>
    <m/>
    <x v="1"/>
    <n v="0"/>
  </r>
  <r>
    <s v="CAND0649"/>
    <s v="Riya Khan"/>
    <x v="174"/>
    <x v="4"/>
    <x v="2"/>
    <x v="3"/>
    <x v="4"/>
    <x v="1"/>
    <s v="Passed"/>
    <s v="Round 1"/>
    <d v="2026-08-10T00:00:00"/>
    <s v="Completed"/>
    <s v="Rejected"/>
    <m/>
    <s v="Not Applicable"/>
    <m/>
    <n v="4"/>
    <m/>
    <m/>
    <x v="1"/>
    <n v="0"/>
  </r>
  <r>
    <s v="CAND0650"/>
    <s v="Rohan Joshi"/>
    <x v="53"/>
    <x v="1"/>
    <x v="1"/>
    <x v="1"/>
    <x v="2"/>
    <x v="3"/>
    <s v="Passed"/>
    <s v="Round 1"/>
    <d v="2026-09-29T00:00:00"/>
    <s v="Completed"/>
    <s v="Rejected"/>
    <m/>
    <s v="Not Applicable"/>
    <m/>
    <n v="13"/>
    <m/>
    <m/>
    <x v="1"/>
    <n v="0"/>
  </r>
  <r>
    <s v="CAND0651"/>
    <s v="Karan Chauhan"/>
    <x v="6"/>
    <x v="1"/>
    <x v="1"/>
    <x v="1"/>
    <x v="0"/>
    <x v="0"/>
    <s v="Passed"/>
    <s v="Round 1"/>
    <d v="2026-08-22T00:00:00"/>
    <s v="Completed"/>
    <s v="Selected"/>
    <d v="2026-08-25T00:00:00"/>
    <s v="Joined"/>
    <d v="2026-09-19T00:00:00"/>
    <n v="17"/>
    <n v="3"/>
    <n v="25"/>
    <x v="0"/>
    <n v="1"/>
  </r>
  <r>
    <s v="CAND0652"/>
    <s v="Reyansh Sinha"/>
    <x v="69"/>
    <x v="0"/>
    <x v="0"/>
    <x v="4"/>
    <x v="1"/>
    <x v="1"/>
    <s v="Passed"/>
    <s v="Round 1"/>
    <d v="2026-04-16T00:00:00"/>
    <s v="Completed"/>
    <s v="Rejected"/>
    <m/>
    <s v="Not Applicable"/>
    <m/>
    <n v="12"/>
    <m/>
    <m/>
    <x v="1"/>
    <n v="0"/>
  </r>
  <r>
    <s v="CAND0653"/>
    <s v="Nisha Sharma"/>
    <x v="108"/>
    <x v="2"/>
    <x v="2"/>
    <x v="0"/>
    <x v="1"/>
    <x v="4"/>
    <s v="Passed"/>
    <s v="Round 1"/>
    <d v="2026-04-28T00:00:00"/>
    <s v="Completed"/>
    <s v="Rejected"/>
    <m/>
    <s v="Not Applicable"/>
    <m/>
    <n v="16"/>
    <m/>
    <m/>
    <x v="1"/>
    <n v="0"/>
  </r>
  <r>
    <s v="CAND0654"/>
    <s v="Rahul Gupta"/>
    <x v="219"/>
    <x v="0"/>
    <x v="0"/>
    <x v="5"/>
    <x v="4"/>
    <x v="2"/>
    <s v="Passed"/>
    <s v="Round 1"/>
    <d v="2026-08-12T00:00:00"/>
    <s v="Completed"/>
    <s v="Selected"/>
    <d v="2026-08-15T00:00:00"/>
    <s v="Offer Declined"/>
    <m/>
    <n v="4"/>
    <n v="3"/>
    <m/>
    <x v="0"/>
    <n v="1"/>
  </r>
  <r>
    <s v="CAND0655"/>
    <s v="Kavya Mishra"/>
    <x v="206"/>
    <x v="2"/>
    <x v="2"/>
    <x v="1"/>
    <x v="2"/>
    <x v="0"/>
    <s v="Rejected"/>
    <s v="Not Applicable"/>
    <m/>
    <s v="Not Applicable"/>
    <s v="Rejected"/>
    <m/>
    <s v="Not Applicable"/>
    <m/>
    <m/>
    <m/>
    <m/>
    <x v="1"/>
    <n v="0"/>
  </r>
  <r>
    <s v="CAND0656"/>
    <s v="Priya Rao"/>
    <x v="18"/>
    <x v="2"/>
    <x v="2"/>
    <x v="0"/>
    <x v="4"/>
    <x v="1"/>
    <s v="Rejected"/>
    <s v="Not Applicable"/>
    <m/>
    <s v="Not Applicable"/>
    <s v="Rejected"/>
    <m/>
    <s v="Not Applicable"/>
    <m/>
    <m/>
    <m/>
    <m/>
    <x v="1"/>
    <n v="0"/>
  </r>
  <r>
    <s v="CAND0657"/>
    <s v="Riya Kapoor"/>
    <x v="30"/>
    <x v="2"/>
    <x v="2"/>
    <x v="4"/>
    <x v="1"/>
    <x v="3"/>
    <s v="Passed"/>
    <s v="Round 1"/>
    <d v="2026-05-10T00:00:00"/>
    <s v="Completed"/>
    <s v="Selected"/>
    <d v="2026-05-14T00:00:00"/>
    <s v="Joined"/>
    <d v="2026-05-27T00:00:00"/>
    <n v="13"/>
    <n v="4"/>
    <n v="13"/>
    <x v="0"/>
    <n v="1"/>
  </r>
  <r>
    <s v="CAND0658"/>
    <s v="Nisha Gupta"/>
    <x v="240"/>
    <x v="0"/>
    <x v="0"/>
    <x v="5"/>
    <x v="0"/>
    <x v="4"/>
    <s v="Passed"/>
    <s v="Not Applicable"/>
    <m/>
    <s v="Not Scheduled"/>
    <s v="In Process"/>
    <m/>
    <s v="Not Applicable"/>
    <m/>
    <m/>
    <m/>
    <m/>
    <x v="2"/>
    <n v="0"/>
  </r>
  <r>
    <s v="CAND0659"/>
    <s v="Kabir Chauhan"/>
    <x v="55"/>
    <x v="3"/>
    <x v="1"/>
    <x v="2"/>
    <x v="5"/>
    <x v="3"/>
    <s v="Passed"/>
    <s v="Round 1"/>
    <d v="2026-03-20T00:00:00"/>
    <s v="Completed"/>
    <s v="Rejected"/>
    <m/>
    <s v="Not Applicable"/>
    <m/>
    <n v="4"/>
    <m/>
    <m/>
    <x v="1"/>
    <n v="0"/>
  </r>
  <r>
    <s v="CAND0660"/>
    <s v="Diya Sharma"/>
    <x v="18"/>
    <x v="1"/>
    <x v="1"/>
    <x v="5"/>
    <x v="0"/>
    <x v="2"/>
    <s v="Rejected"/>
    <s v="Not Applicable"/>
    <m/>
    <s v="Not Applicable"/>
    <s v="Rejected"/>
    <m/>
    <s v="Not Applicable"/>
    <m/>
    <m/>
    <m/>
    <m/>
    <x v="1"/>
    <n v="0"/>
  </r>
  <r>
    <s v="CAND0661"/>
    <s v="Riya Agarwal"/>
    <x v="128"/>
    <x v="2"/>
    <x v="2"/>
    <x v="4"/>
    <x v="5"/>
    <x v="4"/>
    <s v="Rejected"/>
    <s v="Not Applicable"/>
    <m/>
    <s v="Not Applicable"/>
    <s v="Rejected"/>
    <m/>
    <s v="Not Applicable"/>
    <m/>
    <m/>
    <m/>
    <m/>
    <x v="1"/>
    <n v="0"/>
  </r>
  <r>
    <s v="CAND0662"/>
    <s v="Kabir Khan"/>
    <x v="241"/>
    <x v="0"/>
    <x v="0"/>
    <x v="4"/>
    <x v="0"/>
    <x v="3"/>
    <s v="Rejected"/>
    <s v="Not Applicable"/>
    <m/>
    <s v="Not Applicable"/>
    <s v="Rejected"/>
    <m/>
    <s v="Not Applicable"/>
    <m/>
    <m/>
    <m/>
    <m/>
    <x v="1"/>
    <n v="0"/>
  </r>
  <r>
    <s v="CAND0663"/>
    <s v="Priya Malhotra"/>
    <x v="221"/>
    <x v="2"/>
    <x v="2"/>
    <x v="4"/>
    <x v="0"/>
    <x v="4"/>
    <s v="Passed"/>
    <s v="Round 1"/>
    <d v="2026-06-29T00:00:00"/>
    <s v="Completed"/>
    <s v="Selected"/>
    <d v="2026-07-06T00:00:00"/>
    <s v="Joined"/>
    <d v="2026-08-05T00:00:00"/>
    <n v="16"/>
    <n v="7"/>
    <n v="30"/>
    <x v="0"/>
    <n v="1"/>
  </r>
  <r>
    <s v="CAND0664"/>
    <s v="Isha Joshi"/>
    <x v="202"/>
    <x v="2"/>
    <x v="2"/>
    <x v="2"/>
    <x v="5"/>
    <x v="2"/>
    <s v="Rejected"/>
    <s v="Not Applicable"/>
    <m/>
    <s v="Not Applicable"/>
    <s v="Rejected"/>
    <m/>
    <s v="Not Applicable"/>
    <m/>
    <m/>
    <m/>
    <m/>
    <x v="1"/>
    <n v="0"/>
  </r>
  <r>
    <s v="CAND0665"/>
    <s v="Nisha Mehta"/>
    <x v="98"/>
    <x v="4"/>
    <x v="2"/>
    <x v="4"/>
    <x v="0"/>
    <x v="3"/>
    <s v="Rejected"/>
    <s v="Not Applicable"/>
    <m/>
    <s v="Not Applicable"/>
    <s v="Rejected"/>
    <m/>
    <s v="Not Applicable"/>
    <m/>
    <m/>
    <m/>
    <m/>
    <x v="1"/>
    <n v="0"/>
  </r>
  <r>
    <s v="CAND0666"/>
    <s v="Rahul Agarwal"/>
    <x v="238"/>
    <x v="1"/>
    <x v="1"/>
    <x v="1"/>
    <x v="2"/>
    <x v="0"/>
    <s v="Passed"/>
    <s v="Round 1"/>
    <d v="2026-08-03T00:00:00"/>
    <s v="Completed"/>
    <s v="Rejected"/>
    <m/>
    <s v="Not Applicable"/>
    <m/>
    <n v="4"/>
    <m/>
    <m/>
    <x v="1"/>
    <n v="0"/>
  </r>
  <r>
    <s v="CAND0667"/>
    <s v="Kavya Joshi"/>
    <x v="184"/>
    <x v="2"/>
    <x v="2"/>
    <x v="3"/>
    <x v="2"/>
    <x v="4"/>
    <s v="Passed"/>
    <s v="Not Applicable"/>
    <m/>
    <s v="Not Scheduled"/>
    <s v="In Process"/>
    <m/>
    <s v="Not Applicable"/>
    <m/>
    <m/>
    <m/>
    <m/>
    <x v="2"/>
    <n v="0"/>
  </r>
  <r>
    <s v="CAND0668"/>
    <s v="Priya Malhotra"/>
    <x v="12"/>
    <x v="3"/>
    <x v="1"/>
    <x v="3"/>
    <x v="2"/>
    <x v="1"/>
    <s v="Rejected"/>
    <s v="Not Applicable"/>
    <m/>
    <s v="Not Applicable"/>
    <s v="Rejected"/>
    <m/>
    <s v="Not Applicable"/>
    <m/>
    <m/>
    <m/>
    <m/>
    <x v="1"/>
    <n v="0"/>
  </r>
  <r>
    <s v="CAND0669"/>
    <s v="Riya Mehta"/>
    <x v="8"/>
    <x v="3"/>
    <x v="1"/>
    <x v="2"/>
    <x v="1"/>
    <x v="2"/>
    <s v="Passed"/>
    <s v="Round 1"/>
    <d v="2026-08-26T00:00:00"/>
    <s v="Completed"/>
    <s v="Rejected"/>
    <m/>
    <s v="Not Applicable"/>
    <m/>
    <n v="7"/>
    <m/>
    <m/>
    <x v="1"/>
    <n v="0"/>
  </r>
  <r>
    <s v="CAND0670"/>
    <s v="Kabir Patel"/>
    <x v="150"/>
    <x v="5"/>
    <x v="1"/>
    <x v="4"/>
    <x v="4"/>
    <x v="1"/>
    <s v="Rejected"/>
    <s v="Not Applicable"/>
    <m/>
    <s v="Not Applicable"/>
    <s v="Rejected"/>
    <m/>
    <s v="Not Applicable"/>
    <m/>
    <m/>
    <m/>
    <m/>
    <x v="1"/>
    <n v="0"/>
  </r>
  <r>
    <s v="CAND0671"/>
    <s v="Karan Agarwal"/>
    <x v="40"/>
    <x v="1"/>
    <x v="1"/>
    <x v="4"/>
    <x v="3"/>
    <x v="3"/>
    <s v="Passed"/>
    <s v="Round 1"/>
    <d v="2026-03-22T00:00:00"/>
    <s v="Completed"/>
    <s v="Rejected"/>
    <m/>
    <s v="Not Applicable"/>
    <m/>
    <n v="12"/>
    <m/>
    <m/>
    <x v="1"/>
    <n v="0"/>
  </r>
  <r>
    <s v="CAND0672"/>
    <s v="Diya Joshi"/>
    <x v="242"/>
    <x v="5"/>
    <x v="1"/>
    <x v="3"/>
    <x v="1"/>
    <x v="1"/>
    <s v="Passed"/>
    <s v="Round 1"/>
    <d v="2026-03-18T00:00:00"/>
    <s v="Completed"/>
    <s v="Selected"/>
    <d v="2026-03-21T00:00:00"/>
    <s v="Joined"/>
    <d v="2026-04-17T00:00:00"/>
    <n v="15"/>
    <n v="3"/>
    <n v="27"/>
    <x v="0"/>
    <n v="1"/>
  </r>
  <r>
    <s v="CAND0673"/>
    <s v="Ishaan Chauhan"/>
    <x v="40"/>
    <x v="5"/>
    <x v="1"/>
    <x v="3"/>
    <x v="4"/>
    <x v="3"/>
    <s v="Passed"/>
    <s v="Not Applicable"/>
    <m/>
    <s v="Not Scheduled"/>
    <s v="In Process"/>
    <m/>
    <s v="Not Applicable"/>
    <m/>
    <m/>
    <m/>
    <m/>
    <x v="2"/>
    <n v="0"/>
  </r>
  <r>
    <s v="CAND0674"/>
    <s v="Priya Gupta"/>
    <x v="170"/>
    <x v="3"/>
    <x v="1"/>
    <x v="3"/>
    <x v="0"/>
    <x v="0"/>
    <s v="Passed"/>
    <s v="Round 1"/>
    <d v="2026-03-11T00:00:00"/>
    <s v="Completed"/>
    <s v="Rejected"/>
    <m/>
    <s v="Not Applicable"/>
    <m/>
    <n v="15"/>
    <m/>
    <m/>
    <x v="1"/>
    <n v="0"/>
  </r>
  <r>
    <s v="CAND0675"/>
    <s v="Kavya Rao"/>
    <x v="175"/>
    <x v="4"/>
    <x v="2"/>
    <x v="4"/>
    <x v="5"/>
    <x v="1"/>
    <s v="Passed"/>
    <s v="Not Applicable"/>
    <m/>
    <s v="Not Scheduled"/>
    <s v="In Process"/>
    <m/>
    <s v="Not Applicable"/>
    <m/>
    <m/>
    <m/>
    <m/>
    <x v="2"/>
    <n v="0"/>
  </r>
  <r>
    <s v="CAND0676"/>
    <s v="Nisha Khan"/>
    <x v="81"/>
    <x v="2"/>
    <x v="2"/>
    <x v="5"/>
    <x v="1"/>
    <x v="4"/>
    <s v="Passed"/>
    <s v="Not Applicable"/>
    <m/>
    <s v="Not Scheduled"/>
    <s v="In Process"/>
    <m/>
    <s v="Not Applicable"/>
    <m/>
    <m/>
    <m/>
    <m/>
    <x v="2"/>
    <n v="0"/>
  </r>
  <r>
    <s v="CAND0677"/>
    <s v="Nisha Sharma"/>
    <x v="236"/>
    <x v="2"/>
    <x v="2"/>
    <x v="5"/>
    <x v="4"/>
    <x v="2"/>
    <s v="Passed"/>
    <s v="Round 1"/>
    <d v="2026-07-30T00:00:00"/>
    <s v="Completed"/>
    <s v="Selected"/>
    <d v="2026-08-03T00:00:00"/>
    <s v="Joined"/>
    <d v="2026-08-17T00:00:00"/>
    <n v="4"/>
    <n v="4"/>
    <n v="14"/>
    <x v="0"/>
    <n v="1"/>
  </r>
  <r>
    <s v="CAND0678"/>
    <s v="Meera Sinha"/>
    <x v="240"/>
    <x v="0"/>
    <x v="0"/>
    <x v="4"/>
    <x v="1"/>
    <x v="0"/>
    <s v="Passed"/>
    <s v="Round 1"/>
    <d v="2026-01-24T00:00:00"/>
    <s v="Completed"/>
    <s v="Rejected"/>
    <m/>
    <s v="Not Applicable"/>
    <m/>
    <n v="8"/>
    <m/>
    <m/>
    <x v="1"/>
    <n v="0"/>
  </r>
  <r>
    <s v="CAND0679"/>
    <s v="Riya Sinha"/>
    <x v="21"/>
    <x v="4"/>
    <x v="2"/>
    <x v="3"/>
    <x v="0"/>
    <x v="0"/>
    <s v="Rejected"/>
    <s v="Not Applicable"/>
    <m/>
    <s v="Not Applicable"/>
    <s v="Rejected"/>
    <m/>
    <s v="Not Applicable"/>
    <m/>
    <m/>
    <m/>
    <m/>
    <x v="1"/>
    <n v="0"/>
  </r>
  <r>
    <s v="CAND0680"/>
    <s v="Isha Verma"/>
    <x v="41"/>
    <x v="5"/>
    <x v="1"/>
    <x v="4"/>
    <x v="5"/>
    <x v="2"/>
    <s v="Rejected"/>
    <s v="Not Applicable"/>
    <m/>
    <s v="Not Applicable"/>
    <s v="Rejected"/>
    <m/>
    <s v="Not Applicable"/>
    <m/>
    <m/>
    <m/>
    <m/>
    <x v="1"/>
    <n v="0"/>
  </r>
  <r>
    <s v="CAND0681"/>
    <s v="Rohan Agarwal"/>
    <x v="106"/>
    <x v="2"/>
    <x v="2"/>
    <x v="3"/>
    <x v="1"/>
    <x v="1"/>
    <s v="Passed"/>
    <s v="Round 1"/>
    <d v="2026-06-24T00:00:00"/>
    <s v="Completed"/>
    <s v="Selected"/>
    <m/>
    <s v="Not Applicable"/>
    <m/>
    <n v="9"/>
    <m/>
    <m/>
    <x v="0"/>
    <n v="1"/>
  </r>
  <r>
    <s v="CAND0682"/>
    <s v="Karan Agarwal"/>
    <x v="204"/>
    <x v="4"/>
    <x v="2"/>
    <x v="4"/>
    <x v="1"/>
    <x v="2"/>
    <s v="Rejected"/>
    <s v="Not Applicable"/>
    <m/>
    <s v="Not Applicable"/>
    <s v="Rejected"/>
    <m/>
    <s v="Not Applicable"/>
    <m/>
    <m/>
    <m/>
    <m/>
    <x v="1"/>
    <n v="0"/>
  </r>
  <r>
    <s v="CAND0683"/>
    <s v="Vivaan Singh"/>
    <x v="91"/>
    <x v="3"/>
    <x v="1"/>
    <x v="2"/>
    <x v="0"/>
    <x v="0"/>
    <s v="Rejected"/>
    <s v="Not Applicable"/>
    <m/>
    <s v="Not Applicable"/>
    <s v="Rejected"/>
    <m/>
    <s v="Not Applicable"/>
    <m/>
    <m/>
    <m/>
    <m/>
    <x v="1"/>
    <n v="0"/>
  </r>
  <r>
    <s v="CAND0684"/>
    <s v="Kavya Mishra"/>
    <x v="144"/>
    <x v="5"/>
    <x v="1"/>
    <x v="0"/>
    <x v="0"/>
    <x v="4"/>
    <s v="Rejected"/>
    <s v="Not Applicable"/>
    <m/>
    <s v="Not Applicable"/>
    <s v="Rejected"/>
    <m/>
    <s v="Not Applicable"/>
    <m/>
    <m/>
    <m/>
    <m/>
    <x v="1"/>
    <n v="0"/>
  </r>
  <r>
    <s v="CAND0685"/>
    <s v="Kavya Malhotra"/>
    <x v="75"/>
    <x v="1"/>
    <x v="1"/>
    <x v="1"/>
    <x v="5"/>
    <x v="4"/>
    <s v="Rejected"/>
    <s v="Not Applicable"/>
    <m/>
    <s v="Not Applicable"/>
    <s v="Rejected"/>
    <m/>
    <s v="Not Applicable"/>
    <m/>
    <m/>
    <m/>
    <m/>
    <x v="1"/>
    <n v="0"/>
  </r>
  <r>
    <s v="CAND0686"/>
    <s v="Isha Sinha"/>
    <x v="68"/>
    <x v="2"/>
    <x v="2"/>
    <x v="4"/>
    <x v="5"/>
    <x v="1"/>
    <s v="Rejected"/>
    <s v="Not Applicable"/>
    <m/>
    <s v="Not Applicable"/>
    <s v="Rejected"/>
    <m/>
    <s v="Not Applicable"/>
    <m/>
    <m/>
    <m/>
    <m/>
    <x v="1"/>
    <n v="0"/>
  </r>
  <r>
    <s v="CAND0687"/>
    <s v="Nisha Verma"/>
    <x v="12"/>
    <x v="5"/>
    <x v="1"/>
    <x v="4"/>
    <x v="0"/>
    <x v="2"/>
    <s v="Passed"/>
    <s v="Not Applicable"/>
    <m/>
    <s v="Not Scheduled"/>
    <s v="In Process"/>
    <m/>
    <s v="Not Applicable"/>
    <m/>
    <m/>
    <m/>
    <m/>
    <x v="2"/>
    <n v="0"/>
  </r>
  <r>
    <s v="CAND0688"/>
    <s v="Isha Mehta"/>
    <x v="112"/>
    <x v="2"/>
    <x v="2"/>
    <x v="0"/>
    <x v="4"/>
    <x v="2"/>
    <s v="Rejected"/>
    <s v="Not Applicable"/>
    <m/>
    <s v="Not Applicable"/>
    <s v="Rejected"/>
    <m/>
    <s v="Not Applicable"/>
    <m/>
    <m/>
    <m/>
    <m/>
    <x v="1"/>
    <n v="0"/>
  </r>
  <r>
    <s v="CAND0689"/>
    <s v="Arjun Malhotra"/>
    <x v="80"/>
    <x v="2"/>
    <x v="2"/>
    <x v="0"/>
    <x v="0"/>
    <x v="3"/>
    <s v="Passed"/>
    <s v="Not Applicable"/>
    <m/>
    <s v="Not Scheduled"/>
    <s v="In Process"/>
    <m/>
    <s v="Not Applicable"/>
    <m/>
    <m/>
    <m/>
    <m/>
    <x v="2"/>
    <n v="0"/>
  </r>
  <r>
    <s v="CAND0690"/>
    <s v="Vivaan Kapoor"/>
    <x v="78"/>
    <x v="1"/>
    <x v="1"/>
    <x v="5"/>
    <x v="0"/>
    <x v="1"/>
    <s v="Rejected"/>
    <s v="Not Applicable"/>
    <m/>
    <s v="Not Applicable"/>
    <s v="Rejected"/>
    <m/>
    <s v="Not Applicable"/>
    <m/>
    <m/>
    <m/>
    <m/>
    <x v="1"/>
    <n v="0"/>
  </r>
  <r>
    <s v="CAND0691"/>
    <s v="Ishaan Joshi"/>
    <x v="165"/>
    <x v="1"/>
    <x v="1"/>
    <x v="5"/>
    <x v="0"/>
    <x v="0"/>
    <s v="Passed"/>
    <s v="Round 1"/>
    <d v="2026-08-06T00:00:00"/>
    <s v="Completed"/>
    <s v="Rejected"/>
    <m/>
    <s v="Not Applicable"/>
    <m/>
    <n v="4"/>
    <m/>
    <m/>
    <x v="1"/>
    <n v="0"/>
  </r>
  <r>
    <s v="CAND0692"/>
    <s v="Kabir Khan"/>
    <x v="26"/>
    <x v="2"/>
    <x v="2"/>
    <x v="4"/>
    <x v="3"/>
    <x v="4"/>
    <s v="Passed"/>
    <s v="Round 1"/>
    <d v="2026-07-03T00:00:00"/>
    <s v="Completed"/>
    <s v="Rejected"/>
    <m/>
    <s v="Not Applicable"/>
    <m/>
    <n v="10"/>
    <m/>
    <m/>
    <x v="1"/>
    <n v="0"/>
  </r>
  <r>
    <s v="CAND0693"/>
    <s v="Vivaan Mehta"/>
    <x v="220"/>
    <x v="2"/>
    <x v="2"/>
    <x v="1"/>
    <x v="1"/>
    <x v="0"/>
    <s v="Passed"/>
    <s v="Not Applicable"/>
    <m/>
    <s v="Not Scheduled"/>
    <s v="In Process"/>
    <m/>
    <s v="Not Applicable"/>
    <m/>
    <m/>
    <m/>
    <m/>
    <x v="2"/>
    <n v="0"/>
  </r>
  <r>
    <s v="CAND0694"/>
    <s v="Nisha Malhotra"/>
    <x v="67"/>
    <x v="5"/>
    <x v="1"/>
    <x v="3"/>
    <x v="0"/>
    <x v="3"/>
    <s v="Rejected"/>
    <s v="Not Applicable"/>
    <m/>
    <s v="Not Applicable"/>
    <s v="Rejected"/>
    <m/>
    <s v="Not Applicable"/>
    <m/>
    <m/>
    <m/>
    <m/>
    <x v="1"/>
    <n v="0"/>
  </r>
  <r>
    <s v="CAND0695"/>
    <s v="Ishaan Sinha"/>
    <x v="190"/>
    <x v="2"/>
    <x v="2"/>
    <x v="1"/>
    <x v="3"/>
    <x v="0"/>
    <s v="Rejected"/>
    <s v="Not Applicable"/>
    <m/>
    <s v="Not Applicable"/>
    <s v="Rejected"/>
    <m/>
    <s v="Not Applicable"/>
    <m/>
    <m/>
    <m/>
    <m/>
    <x v="1"/>
    <n v="0"/>
  </r>
  <r>
    <s v="CAND0696"/>
    <s v="Reyansh Kapoor"/>
    <x v="189"/>
    <x v="0"/>
    <x v="0"/>
    <x v="5"/>
    <x v="2"/>
    <x v="0"/>
    <s v="Passed"/>
    <s v="Not Applicable"/>
    <m/>
    <s v="Not Scheduled"/>
    <s v="In Process"/>
    <m/>
    <s v="Not Applicable"/>
    <m/>
    <m/>
    <m/>
    <m/>
    <x v="2"/>
    <n v="0"/>
  </r>
  <r>
    <s v="CAND0697"/>
    <s v="Riya Chauhan"/>
    <x v="49"/>
    <x v="4"/>
    <x v="2"/>
    <x v="2"/>
    <x v="0"/>
    <x v="0"/>
    <s v="Passed"/>
    <s v="Not Applicable"/>
    <m/>
    <s v="Not Scheduled"/>
    <s v="In Process"/>
    <m/>
    <s v="Not Applicable"/>
    <m/>
    <m/>
    <m/>
    <m/>
    <x v="2"/>
    <n v="0"/>
  </r>
  <r>
    <s v="CAND0698"/>
    <s v="Kavya Chauhan"/>
    <x v="9"/>
    <x v="2"/>
    <x v="2"/>
    <x v="4"/>
    <x v="4"/>
    <x v="0"/>
    <s v="Rejected"/>
    <s v="Not Applicable"/>
    <m/>
    <s v="Not Applicable"/>
    <s v="Rejected"/>
    <m/>
    <s v="Not Applicable"/>
    <m/>
    <m/>
    <m/>
    <m/>
    <x v="1"/>
    <n v="0"/>
  </r>
  <r>
    <s v="CAND0699"/>
    <s v="Kabir Malhotra"/>
    <x v="165"/>
    <x v="3"/>
    <x v="1"/>
    <x v="0"/>
    <x v="4"/>
    <x v="2"/>
    <s v="Rejected"/>
    <s v="Not Applicable"/>
    <m/>
    <s v="Not Applicable"/>
    <s v="Rejected"/>
    <m/>
    <s v="Not Applicable"/>
    <m/>
    <m/>
    <m/>
    <m/>
    <x v="1"/>
    <n v="0"/>
  </r>
  <r>
    <s v="CAND0700"/>
    <s v="Ananya Sharma"/>
    <x v="240"/>
    <x v="5"/>
    <x v="1"/>
    <x v="1"/>
    <x v="0"/>
    <x v="0"/>
    <s v="Passed"/>
    <s v="Round 1"/>
    <d v="2026-01-20T00:00:00"/>
    <s v="Completed"/>
    <s v="Rejected"/>
    <m/>
    <s v="Not Applicable"/>
    <m/>
    <n v="4"/>
    <m/>
    <m/>
    <x v="1"/>
    <n v="0"/>
  </r>
  <r>
    <s v="CAND0701"/>
    <s v="Isha Sharma"/>
    <x v="143"/>
    <x v="4"/>
    <x v="2"/>
    <x v="0"/>
    <x v="5"/>
    <x v="0"/>
    <s v="Rejected"/>
    <s v="Not Applicable"/>
    <m/>
    <s v="Not Applicable"/>
    <s v="Rejected"/>
    <m/>
    <s v="Not Applicable"/>
    <m/>
    <m/>
    <m/>
    <m/>
    <x v="1"/>
    <n v="0"/>
  </r>
  <r>
    <s v="CAND0702"/>
    <s v="Rohan Singh"/>
    <x v="8"/>
    <x v="4"/>
    <x v="2"/>
    <x v="5"/>
    <x v="1"/>
    <x v="4"/>
    <s v="Rejected"/>
    <s v="Not Applicable"/>
    <m/>
    <s v="Not Applicable"/>
    <s v="Rejected"/>
    <m/>
    <s v="Not Applicable"/>
    <m/>
    <m/>
    <m/>
    <m/>
    <x v="1"/>
    <n v="0"/>
  </r>
  <r>
    <s v="CAND0703"/>
    <s v="Ananya Rao"/>
    <x v="116"/>
    <x v="5"/>
    <x v="1"/>
    <x v="4"/>
    <x v="5"/>
    <x v="2"/>
    <s v="Rejected"/>
    <s v="Not Applicable"/>
    <m/>
    <s v="Not Applicable"/>
    <s v="Rejected"/>
    <m/>
    <s v="Not Applicable"/>
    <m/>
    <m/>
    <m/>
    <m/>
    <x v="1"/>
    <n v="0"/>
  </r>
  <r>
    <s v="CAND0704"/>
    <s v="Kavya Rao"/>
    <x v="174"/>
    <x v="2"/>
    <x v="2"/>
    <x v="4"/>
    <x v="5"/>
    <x v="3"/>
    <s v="Passed"/>
    <s v="Round 1"/>
    <d v="2026-08-10T00:00:00"/>
    <s v="Completed"/>
    <s v="Rejected"/>
    <m/>
    <s v="Not Applicable"/>
    <m/>
    <n v="4"/>
    <m/>
    <m/>
    <x v="1"/>
    <n v="0"/>
  </r>
  <r>
    <s v="CAND0705"/>
    <s v="Vivaan Mehta"/>
    <x v="123"/>
    <x v="3"/>
    <x v="1"/>
    <x v="1"/>
    <x v="0"/>
    <x v="3"/>
    <s v="Rejected"/>
    <s v="Not Applicable"/>
    <m/>
    <s v="Not Applicable"/>
    <s v="Rejected"/>
    <m/>
    <s v="Not Applicable"/>
    <m/>
    <m/>
    <m/>
    <m/>
    <x v="1"/>
    <n v="0"/>
  </r>
  <r>
    <s v="CAND0706"/>
    <s v="Kabir Patel"/>
    <x v="102"/>
    <x v="4"/>
    <x v="2"/>
    <x v="1"/>
    <x v="0"/>
    <x v="4"/>
    <s v="Rejected"/>
    <s v="Not Applicable"/>
    <m/>
    <s v="Not Applicable"/>
    <s v="Rejected"/>
    <m/>
    <s v="Not Applicable"/>
    <m/>
    <m/>
    <m/>
    <m/>
    <x v="1"/>
    <n v="0"/>
  </r>
  <r>
    <s v="CAND0707"/>
    <s v="Isha Chauhan"/>
    <x v="133"/>
    <x v="4"/>
    <x v="2"/>
    <x v="0"/>
    <x v="1"/>
    <x v="2"/>
    <s v="Rejected"/>
    <s v="Not Applicable"/>
    <m/>
    <s v="Not Applicable"/>
    <s v="Rejected"/>
    <m/>
    <s v="Not Applicable"/>
    <m/>
    <m/>
    <m/>
    <m/>
    <x v="1"/>
    <n v="0"/>
  </r>
  <r>
    <s v="CAND0708"/>
    <s v="Kavya Joshi"/>
    <x v="43"/>
    <x v="5"/>
    <x v="1"/>
    <x v="4"/>
    <x v="0"/>
    <x v="4"/>
    <s v="Passed"/>
    <s v="Round 1"/>
    <d v="2026-05-16T00:00:00"/>
    <s v="Completed"/>
    <s v="Selected"/>
    <d v="2026-05-18T00:00:00"/>
    <s v="Joined"/>
    <d v="2026-06-16T00:00:00"/>
    <n v="14"/>
    <n v="2"/>
    <n v="29"/>
    <x v="0"/>
    <n v="1"/>
  </r>
  <r>
    <s v="CAND0709"/>
    <s v="Nisha Joshi"/>
    <x v="157"/>
    <x v="0"/>
    <x v="0"/>
    <x v="5"/>
    <x v="1"/>
    <x v="1"/>
    <s v="Rejected"/>
    <s v="Not Applicable"/>
    <m/>
    <s v="Not Applicable"/>
    <s v="Rejected"/>
    <m/>
    <s v="Not Applicable"/>
    <m/>
    <m/>
    <m/>
    <m/>
    <x v="1"/>
    <n v="0"/>
  </r>
  <r>
    <s v="CAND0710"/>
    <s v="Arjun Joshi"/>
    <x v="213"/>
    <x v="2"/>
    <x v="2"/>
    <x v="0"/>
    <x v="5"/>
    <x v="4"/>
    <s v="Rejected"/>
    <s v="Not Applicable"/>
    <m/>
    <s v="Not Applicable"/>
    <s v="Rejected"/>
    <m/>
    <s v="Not Applicable"/>
    <m/>
    <m/>
    <m/>
    <m/>
    <x v="1"/>
    <n v="0"/>
  </r>
  <r>
    <s v="CAND0711"/>
    <s v="Kavya Rao"/>
    <x v="80"/>
    <x v="2"/>
    <x v="2"/>
    <x v="3"/>
    <x v="1"/>
    <x v="0"/>
    <s v="Rejected"/>
    <s v="Not Applicable"/>
    <m/>
    <s v="Not Applicable"/>
    <s v="Rejected"/>
    <m/>
    <s v="Not Applicable"/>
    <m/>
    <m/>
    <m/>
    <m/>
    <x v="1"/>
    <n v="0"/>
  </r>
  <r>
    <s v="CAND0712"/>
    <s v="Ananya Malhotra"/>
    <x v="68"/>
    <x v="4"/>
    <x v="2"/>
    <x v="3"/>
    <x v="1"/>
    <x v="3"/>
    <s v="Rejected"/>
    <s v="Not Applicable"/>
    <m/>
    <s v="Not Applicable"/>
    <s v="Rejected"/>
    <m/>
    <s v="Not Applicable"/>
    <m/>
    <m/>
    <m/>
    <m/>
    <x v="1"/>
    <n v="0"/>
  </r>
  <r>
    <s v="CAND0713"/>
    <s v="Aanya Malhotra"/>
    <x v="168"/>
    <x v="2"/>
    <x v="2"/>
    <x v="0"/>
    <x v="2"/>
    <x v="2"/>
    <s v="Passed"/>
    <s v="Round 1"/>
    <d v="2026-07-27T00:00:00"/>
    <s v="Completed"/>
    <s v="Rejected"/>
    <m/>
    <s v="Not Applicable"/>
    <m/>
    <n v="14"/>
    <m/>
    <m/>
    <x v="1"/>
    <n v="0"/>
  </r>
  <r>
    <s v="CAND0714"/>
    <s v="Ananya Chauhan"/>
    <x v="105"/>
    <x v="0"/>
    <x v="0"/>
    <x v="3"/>
    <x v="1"/>
    <x v="4"/>
    <s v="Rejected"/>
    <s v="Not Applicable"/>
    <m/>
    <s v="Not Applicable"/>
    <s v="Rejected"/>
    <m/>
    <s v="Not Applicable"/>
    <m/>
    <m/>
    <m/>
    <m/>
    <x v="1"/>
    <n v="0"/>
  </r>
  <r>
    <s v="CAND0715"/>
    <s v="Kabir Gupta"/>
    <x v="238"/>
    <x v="4"/>
    <x v="2"/>
    <x v="5"/>
    <x v="1"/>
    <x v="2"/>
    <s v="Rejected"/>
    <s v="Not Applicable"/>
    <m/>
    <s v="Not Applicable"/>
    <s v="Rejected"/>
    <m/>
    <s v="Not Applicable"/>
    <m/>
    <m/>
    <m/>
    <m/>
    <x v="1"/>
    <n v="0"/>
  </r>
  <r>
    <s v="CAND0716"/>
    <s v="Aanya Gupta"/>
    <x v="127"/>
    <x v="2"/>
    <x v="2"/>
    <x v="3"/>
    <x v="1"/>
    <x v="2"/>
    <s v="Passed"/>
    <s v="Round 1"/>
    <d v="2026-01-18T00:00:00"/>
    <s v="Completed"/>
    <s v="Selected"/>
    <d v="2026-01-25T00:00:00"/>
    <s v="Joined"/>
    <d v="2026-02-06T00:00:00"/>
    <n v="9"/>
    <n v="7"/>
    <n v="12"/>
    <x v="0"/>
    <n v="1"/>
  </r>
  <r>
    <s v="CAND0717"/>
    <s v="Priya Joshi"/>
    <x v="90"/>
    <x v="2"/>
    <x v="2"/>
    <x v="1"/>
    <x v="5"/>
    <x v="4"/>
    <s v="Passed"/>
    <s v="Round 1"/>
    <d v="2026-01-29T00:00:00"/>
    <s v="Completed"/>
    <s v="Rejected"/>
    <m/>
    <s v="Not Applicable"/>
    <m/>
    <n v="17"/>
    <m/>
    <m/>
    <x v="1"/>
    <n v="0"/>
  </r>
  <r>
    <s v="CAND0718"/>
    <s v="Meera Rao"/>
    <x v="113"/>
    <x v="3"/>
    <x v="1"/>
    <x v="4"/>
    <x v="0"/>
    <x v="2"/>
    <s v="Rejected"/>
    <s v="Not Applicable"/>
    <m/>
    <s v="Not Applicable"/>
    <s v="Rejected"/>
    <m/>
    <s v="Not Applicable"/>
    <m/>
    <m/>
    <m/>
    <m/>
    <x v="1"/>
    <n v="0"/>
  </r>
  <r>
    <s v="CAND0719"/>
    <s v="Reyansh Malhotra"/>
    <x v="165"/>
    <x v="2"/>
    <x v="2"/>
    <x v="0"/>
    <x v="0"/>
    <x v="4"/>
    <s v="Rejected"/>
    <s v="Not Applicable"/>
    <m/>
    <s v="Not Applicable"/>
    <s v="Rejected"/>
    <m/>
    <s v="Not Applicable"/>
    <m/>
    <m/>
    <m/>
    <m/>
    <x v="1"/>
    <n v="0"/>
  </r>
  <r>
    <s v="CAND0720"/>
    <s v="Rahul Malhotra"/>
    <x v="16"/>
    <x v="5"/>
    <x v="1"/>
    <x v="3"/>
    <x v="3"/>
    <x v="3"/>
    <s v="Rejected"/>
    <s v="Not Applicable"/>
    <m/>
    <s v="Not Applicable"/>
    <s v="Rejected"/>
    <m/>
    <s v="Not Applicable"/>
    <m/>
    <m/>
    <m/>
    <m/>
    <x v="1"/>
    <n v="0"/>
  </r>
  <r>
    <s v="CAND0721"/>
    <s v="Arjun Rao"/>
    <x v="192"/>
    <x v="3"/>
    <x v="1"/>
    <x v="3"/>
    <x v="4"/>
    <x v="0"/>
    <s v="Rejected"/>
    <s v="Not Applicable"/>
    <m/>
    <s v="Not Applicable"/>
    <s v="Rejected"/>
    <m/>
    <s v="Not Applicable"/>
    <m/>
    <m/>
    <m/>
    <m/>
    <x v="1"/>
    <n v="0"/>
  </r>
  <r>
    <s v="CAND0722"/>
    <s v="Reyansh Malhotra"/>
    <x v="173"/>
    <x v="0"/>
    <x v="0"/>
    <x v="4"/>
    <x v="2"/>
    <x v="2"/>
    <s v="Passed"/>
    <s v="Not Applicable"/>
    <m/>
    <s v="Not Scheduled"/>
    <s v="In Process"/>
    <m/>
    <s v="Not Applicable"/>
    <m/>
    <m/>
    <m/>
    <m/>
    <x v="2"/>
    <n v="0"/>
  </r>
  <r>
    <s v="CAND0723"/>
    <s v="Kabir Singh"/>
    <x v="2"/>
    <x v="3"/>
    <x v="1"/>
    <x v="4"/>
    <x v="0"/>
    <x v="1"/>
    <s v="Passed"/>
    <s v="Round 1"/>
    <d v="2026-07-18T00:00:00"/>
    <s v="Completed"/>
    <s v="Rejected"/>
    <m/>
    <s v="Not Applicable"/>
    <m/>
    <n v="9"/>
    <m/>
    <m/>
    <x v="1"/>
    <n v="0"/>
  </r>
  <r>
    <s v="CAND0724"/>
    <s v="Aditya Mishra"/>
    <x v="159"/>
    <x v="5"/>
    <x v="1"/>
    <x v="4"/>
    <x v="3"/>
    <x v="1"/>
    <s v="Rejected"/>
    <s v="Not Applicable"/>
    <m/>
    <s v="Not Applicable"/>
    <s v="Rejected"/>
    <m/>
    <s v="Not Applicable"/>
    <m/>
    <m/>
    <m/>
    <m/>
    <x v="1"/>
    <n v="0"/>
  </r>
  <r>
    <s v="CAND0725"/>
    <s v="Riya Singh"/>
    <x v="148"/>
    <x v="4"/>
    <x v="2"/>
    <x v="4"/>
    <x v="0"/>
    <x v="3"/>
    <s v="Rejected"/>
    <s v="Not Applicable"/>
    <m/>
    <s v="Not Applicable"/>
    <s v="Rejected"/>
    <m/>
    <s v="Not Applicable"/>
    <m/>
    <m/>
    <m/>
    <m/>
    <x v="1"/>
    <n v="0"/>
  </r>
  <r>
    <s v="CAND0726"/>
    <s v="Ishaan Mishra"/>
    <x v="192"/>
    <x v="2"/>
    <x v="2"/>
    <x v="4"/>
    <x v="0"/>
    <x v="1"/>
    <s v="Rejected"/>
    <s v="Not Applicable"/>
    <m/>
    <s v="Not Applicable"/>
    <s v="Rejected"/>
    <m/>
    <s v="Not Applicable"/>
    <m/>
    <m/>
    <m/>
    <m/>
    <x v="1"/>
    <n v="0"/>
  </r>
  <r>
    <s v="CAND0727"/>
    <s v="Meera Joshi"/>
    <x v="243"/>
    <x v="2"/>
    <x v="2"/>
    <x v="1"/>
    <x v="5"/>
    <x v="1"/>
    <s v="Rejected"/>
    <s v="Not Applicable"/>
    <m/>
    <s v="Not Applicable"/>
    <s v="Rejected"/>
    <m/>
    <s v="Not Applicable"/>
    <m/>
    <m/>
    <m/>
    <m/>
    <x v="1"/>
    <n v="0"/>
  </r>
  <r>
    <s v="CAND0728"/>
    <s v="Aanya Patel"/>
    <x v="244"/>
    <x v="2"/>
    <x v="2"/>
    <x v="4"/>
    <x v="2"/>
    <x v="4"/>
    <s v="Passed"/>
    <s v="Not Applicable"/>
    <m/>
    <s v="Not Scheduled"/>
    <s v="In Process"/>
    <m/>
    <s v="Not Applicable"/>
    <m/>
    <m/>
    <m/>
    <m/>
    <x v="2"/>
    <n v="0"/>
  </r>
  <r>
    <s v="CAND0729"/>
    <s v="Vivaan Sinha"/>
    <x v="113"/>
    <x v="2"/>
    <x v="2"/>
    <x v="3"/>
    <x v="5"/>
    <x v="2"/>
    <s v="Rejected"/>
    <s v="Not Applicable"/>
    <m/>
    <s v="Not Applicable"/>
    <s v="Rejected"/>
    <m/>
    <s v="Not Applicable"/>
    <m/>
    <m/>
    <m/>
    <m/>
    <x v="1"/>
    <n v="0"/>
  </r>
  <r>
    <s v="CAND0730"/>
    <s v="Rohan Malhotra"/>
    <x v="223"/>
    <x v="0"/>
    <x v="0"/>
    <x v="0"/>
    <x v="3"/>
    <x v="1"/>
    <s v="Rejected"/>
    <s v="Not Applicable"/>
    <m/>
    <s v="Not Applicable"/>
    <s v="Rejected"/>
    <m/>
    <s v="Not Applicable"/>
    <m/>
    <m/>
    <m/>
    <m/>
    <x v="1"/>
    <n v="0"/>
  </r>
  <r>
    <s v="CAND0731"/>
    <s v="Aditya Verma"/>
    <x v="210"/>
    <x v="0"/>
    <x v="0"/>
    <x v="0"/>
    <x v="1"/>
    <x v="3"/>
    <s v="Passed"/>
    <s v="Round 1"/>
    <d v="2026-05-20T00:00:00"/>
    <s v="Completed"/>
    <s v="Selected"/>
    <d v="2026-05-23T00:00:00"/>
    <s v="Joined"/>
    <d v="2026-06-10T00:00:00"/>
    <n v="13"/>
    <n v="3"/>
    <n v="18"/>
    <x v="0"/>
    <n v="1"/>
  </r>
  <r>
    <s v="CAND0732"/>
    <s v="Ananya Kapoor"/>
    <x v="16"/>
    <x v="0"/>
    <x v="0"/>
    <x v="3"/>
    <x v="3"/>
    <x v="3"/>
    <s v="Passed"/>
    <s v="Round 1"/>
    <d v="2026-08-04T00:00:00"/>
    <s v="Completed"/>
    <s v="Rejected"/>
    <m/>
    <s v="Not Applicable"/>
    <m/>
    <n v="17"/>
    <m/>
    <m/>
    <x v="1"/>
    <n v="0"/>
  </r>
  <r>
    <s v="CAND0733"/>
    <s v="Priya Sharma"/>
    <x v="245"/>
    <x v="4"/>
    <x v="2"/>
    <x v="1"/>
    <x v="0"/>
    <x v="0"/>
    <s v="Passed"/>
    <s v="Round 1"/>
    <d v="2026-09-07T00:00:00"/>
    <s v="Completed"/>
    <s v="Rejected"/>
    <m/>
    <s v="Not Applicable"/>
    <m/>
    <n v="15"/>
    <m/>
    <m/>
    <x v="1"/>
    <n v="0"/>
  </r>
  <r>
    <s v="CAND0734"/>
    <s v="Diya Khan"/>
    <x v="182"/>
    <x v="5"/>
    <x v="1"/>
    <x v="2"/>
    <x v="4"/>
    <x v="4"/>
    <s v="Rejected"/>
    <s v="Not Applicable"/>
    <m/>
    <s v="Not Applicable"/>
    <s v="Rejected"/>
    <m/>
    <s v="Not Applicable"/>
    <m/>
    <m/>
    <m/>
    <m/>
    <x v="1"/>
    <n v="0"/>
  </r>
  <r>
    <s v="CAND0735"/>
    <s v="Rahul Mehta"/>
    <x v="143"/>
    <x v="4"/>
    <x v="2"/>
    <x v="1"/>
    <x v="0"/>
    <x v="4"/>
    <s v="Passed"/>
    <s v="Round 1"/>
    <d v="2026-07-16T00:00:00"/>
    <s v="Completed"/>
    <s v="Rejected"/>
    <m/>
    <s v="Not Applicable"/>
    <m/>
    <n v="11"/>
    <m/>
    <m/>
    <x v="1"/>
    <n v="0"/>
  </r>
  <r>
    <s v="CAND0736"/>
    <s v="Arjun Mishra"/>
    <x v="39"/>
    <x v="5"/>
    <x v="1"/>
    <x v="4"/>
    <x v="1"/>
    <x v="4"/>
    <s v="Rejected"/>
    <s v="Not Applicable"/>
    <m/>
    <s v="Not Applicable"/>
    <s v="Rejected"/>
    <m/>
    <s v="Not Applicable"/>
    <m/>
    <m/>
    <m/>
    <m/>
    <x v="1"/>
    <n v="0"/>
  </r>
  <r>
    <s v="CAND0737"/>
    <s v="Aanya Kapoor"/>
    <x v="213"/>
    <x v="3"/>
    <x v="1"/>
    <x v="4"/>
    <x v="4"/>
    <x v="1"/>
    <s v="Rejected"/>
    <s v="Not Applicable"/>
    <m/>
    <s v="Not Applicable"/>
    <s v="Rejected"/>
    <m/>
    <s v="Not Applicable"/>
    <m/>
    <m/>
    <m/>
    <m/>
    <x v="1"/>
    <n v="0"/>
  </r>
  <r>
    <s v="CAND0738"/>
    <s v="Aarav Agarwal"/>
    <x v="32"/>
    <x v="4"/>
    <x v="2"/>
    <x v="2"/>
    <x v="2"/>
    <x v="0"/>
    <s v="Rejected"/>
    <s v="Not Applicable"/>
    <m/>
    <s v="Not Applicable"/>
    <s v="Rejected"/>
    <m/>
    <s v="Not Applicable"/>
    <m/>
    <m/>
    <m/>
    <m/>
    <x v="1"/>
    <n v="0"/>
  </r>
  <r>
    <s v="CAND0739"/>
    <s v="Rahul Joshi"/>
    <x v="156"/>
    <x v="1"/>
    <x v="1"/>
    <x v="4"/>
    <x v="0"/>
    <x v="3"/>
    <s v="Rejected"/>
    <s v="Not Applicable"/>
    <m/>
    <s v="Not Applicable"/>
    <s v="Rejected"/>
    <m/>
    <s v="Not Applicable"/>
    <m/>
    <m/>
    <m/>
    <m/>
    <x v="1"/>
    <n v="0"/>
  </r>
  <r>
    <s v="CAND0740"/>
    <s v="Arjun Mehta"/>
    <x v="244"/>
    <x v="5"/>
    <x v="1"/>
    <x v="5"/>
    <x v="3"/>
    <x v="0"/>
    <s v="Rejected"/>
    <s v="Not Applicable"/>
    <m/>
    <s v="Not Applicable"/>
    <s v="Rejected"/>
    <m/>
    <s v="Not Applicable"/>
    <m/>
    <m/>
    <m/>
    <m/>
    <x v="1"/>
    <n v="0"/>
  </r>
  <r>
    <s v="CAND0741"/>
    <s v="Reyansh Joshi"/>
    <x v="112"/>
    <x v="1"/>
    <x v="1"/>
    <x v="3"/>
    <x v="1"/>
    <x v="2"/>
    <s v="Passed"/>
    <s v="Round 1"/>
    <d v="2026-06-16T00:00:00"/>
    <s v="Completed"/>
    <s v="Selected"/>
    <d v="2026-06-22T00:00:00"/>
    <s v="Joined"/>
    <d v="2026-07-10T00:00:00"/>
    <n v="15"/>
    <n v="6"/>
    <n v="18"/>
    <x v="0"/>
    <n v="1"/>
  </r>
  <r>
    <s v="CAND0742"/>
    <s v="Kabir Sinha"/>
    <x v="206"/>
    <x v="2"/>
    <x v="2"/>
    <x v="0"/>
    <x v="4"/>
    <x v="2"/>
    <s v="Rejected"/>
    <s v="Not Applicable"/>
    <m/>
    <s v="Not Applicable"/>
    <s v="Rejected"/>
    <m/>
    <s v="Not Applicable"/>
    <m/>
    <m/>
    <m/>
    <m/>
    <x v="1"/>
    <n v="0"/>
  </r>
  <r>
    <s v="CAND0743"/>
    <s v="Ishaan Khan"/>
    <x v="48"/>
    <x v="4"/>
    <x v="2"/>
    <x v="5"/>
    <x v="1"/>
    <x v="3"/>
    <s v="Rejected"/>
    <s v="Not Applicable"/>
    <m/>
    <s v="Not Applicable"/>
    <s v="Rejected"/>
    <m/>
    <s v="Not Applicable"/>
    <m/>
    <m/>
    <m/>
    <m/>
    <x v="1"/>
    <n v="0"/>
  </r>
  <r>
    <s v="CAND0744"/>
    <s v="Priya Agarwal"/>
    <x v="209"/>
    <x v="4"/>
    <x v="2"/>
    <x v="2"/>
    <x v="0"/>
    <x v="3"/>
    <s v="Rejected"/>
    <s v="Not Applicable"/>
    <m/>
    <s v="Not Applicable"/>
    <s v="Rejected"/>
    <m/>
    <s v="Not Applicable"/>
    <m/>
    <m/>
    <m/>
    <m/>
    <x v="1"/>
    <n v="0"/>
  </r>
  <r>
    <s v="CAND0745"/>
    <s v="Priya Rao"/>
    <x v="31"/>
    <x v="3"/>
    <x v="1"/>
    <x v="2"/>
    <x v="1"/>
    <x v="1"/>
    <s v="Rejected"/>
    <s v="Not Applicable"/>
    <m/>
    <s v="Not Applicable"/>
    <s v="Rejected"/>
    <m/>
    <s v="Not Applicable"/>
    <m/>
    <m/>
    <m/>
    <m/>
    <x v="1"/>
    <n v="0"/>
  </r>
  <r>
    <s v="CAND0746"/>
    <s v="Karan Gupta"/>
    <x v="246"/>
    <x v="2"/>
    <x v="2"/>
    <x v="4"/>
    <x v="2"/>
    <x v="3"/>
    <s v="Passed"/>
    <s v="Round 1"/>
    <d v="2026-09-27T00:00:00"/>
    <s v="Completed"/>
    <s v="Rejected"/>
    <m/>
    <s v="Not Applicable"/>
    <m/>
    <n v="16"/>
    <m/>
    <m/>
    <x v="1"/>
    <n v="0"/>
  </r>
  <r>
    <s v="CAND0747"/>
    <s v="Ishaan Verma"/>
    <x v="36"/>
    <x v="2"/>
    <x v="2"/>
    <x v="4"/>
    <x v="0"/>
    <x v="4"/>
    <s v="Passed"/>
    <s v="Not Applicable"/>
    <m/>
    <s v="Not Scheduled"/>
    <s v="In Process"/>
    <m/>
    <s v="Not Applicable"/>
    <m/>
    <m/>
    <m/>
    <m/>
    <x v="2"/>
    <n v="0"/>
  </r>
  <r>
    <s v="CAND0748"/>
    <s v="Sana Patel"/>
    <x v="183"/>
    <x v="3"/>
    <x v="1"/>
    <x v="4"/>
    <x v="2"/>
    <x v="2"/>
    <s v="Passed"/>
    <s v="Round 1"/>
    <d v="2026-08-23T00:00:00"/>
    <s v="Completed"/>
    <s v="Selected"/>
    <m/>
    <s v="Not Applicable"/>
    <m/>
    <n v="11"/>
    <m/>
    <m/>
    <x v="0"/>
    <n v="1"/>
  </r>
  <r>
    <s v="CAND0749"/>
    <s v="Karan Agarwal"/>
    <x v="59"/>
    <x v="5"/>
    <x v="1"/>
    <x v="1"/>
    <x v="0"/>
    <x v="1"/>
    <s v="Rejected"/>
    <s v="Not Applicable"/>
    <m/>
    <s v="Not Applicable"/>
    <s v="Rejected"/>
    <m/>
    <s v="Not Applicable"/>
    <m/>
    <m/>
    <m/>
    <m/>
    <x v="1"/>
    <n v="0"/>
  </r>
  <r>
    <s v="CAND0750"/>
    <s v="Isha Mishra"/>
    <x v="205"/>
    <x v="1"/>
    <x v="1"/>
    <x v="3"/>
    <x v="4"/>
    <x v="3"/>
    <s v="Rejected"/>
    <s v="Not Applicable"/>
    <m/>
    <s v="Not Applicable"/>
    <s v="Rejected"/>
    <m/>
    <s v="Not Applicable"/>
    <m/>
    <m/>
    <m/>
    <m/>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B9C83A-EF6D-4F9F-B808-F1BBD4C7E08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ource Of Hiring">
  <location ref="A38:C45" firstHeaderRow="0" firstDataRow="1" firstDataCol="1"/>
  <pivotFields count="23">
    <pivotField dataField="1" showAll="0"/>
    <pivotField showAll="0"/>
    <pivotField numFmtId="14" showAll="0">
      <items count="248">
        <item x="46"/>
        <item x="18"/>
        <item x="95"/>
        <item x="180"/>
        <item x="10"/>
        <item x="24"/>
        <item x="83"/>
        <item x="114"/>
        <item x="127"/>
        <item x="72"/>
        <item x="175"/>
        <item x="90"/>
        <item x="169"/>
        <item x="145"/>
        <item x="73"/>
        <item x="240"/>
        <item x="78"/>
        <item x="45"/>
        <item x="135"/>
        <item x="124"/>
        <item x="22"/>
        <item x="187"/>
        <item x="89"/>
        <item x="67"/>
        <item x="243"/>
        <item x="137"/>
        <item x="88"/>
        <item x="233"/>
        <item x="149"/>
        <item x="34"/>
        <item x="54"/>
        <item x="4"/>
        <item x="157"/>
        <item x="155"/>
        <item x="41"/>
        <item x="97"/>
        <item x="164"/>
        <item x="35"/>
        <item x="5"/>
        <item x="13"/>
        <item x="152"/>
        <item x="29"/>
        <item x="190"/>
        <item x="138"/>
        <item x="142"/>
        <item x="125"/>
        <item x="213"/>
        <item x="19"/>
        <item x="170"/>
        <item x="239"/>
        <item x="220"/>
        <item x="98"/>
        <item x="201"/>
        <item x="242"/>
        <item x="71"/>
        <item x="161"/>
        <item x="51"/>
        <item x="162"/>
        <item x="194"/>
        <item x="40"/>
        <item x="129"/>
        <item x="224"/>
        <item x="104"/>
        <item x="60"/>
        <item x="100"/>
        <item x="55"/>
        <item x="70"/>
        <item x="196"/>
        <item x="232"/>
        <item x="237"/>
        <item x="85"/>
        <item x="110"/>
        <item x="241"/>
        <item x="122"/>
        <item x="109"/>
        <item x="80"/>
        <item x="198"/>
        <item x="3"/>
        <item x="36"/>
        <item x="102"/>
        <item x="156"/>
        <item x="69"/>
        <item x="225"/>
        <item x="82"/>
        <item x="216"/>
        <item x="52"/>
        <item x="37"/>
        <item x="173"/>
        <item x="28"/>
        <item x="108"/>
        <item x="0"/>
        <item x="178"/>
        <item x="215"/>
        <item x="146"/>
        <item x="94"/>
        <item x="126"/>
        <item x="158"/>
        <item x="76"/>
        <item x="115"/>
        <item x="207"/>
        <item x="15"/>
        <item x="120"/>
        <item x="132"/>
        <item x="25"/>
        <item x="30"/>
        <item x="200"/>
        <item x="209"/>
        <item x="116"/>
        <item x="222"/>
        <item x="43"/>
        <item x="163"/>
        <item x="58"/>
        <item x="210"/>
        <item x="119"/>
        <item x="68"/>
        <item x="44"/>
        <item x="75"/>
        <item x="47"/>
        <item x="179"/>
        <item x="7"/>
        <item x="77"/>
        <item x="57"/>
        <item x="204"/>
        <item x="74"/>
        <item x="12"/>
        <item x="199"/>
        <item x="63"/>
        <item x="42"/>
        <item x="23"/>
        <item x="151"/>
        <item x="176"/>
        <item x="208"/>
        <item x="17"/>
        <item x="112"/>
        <item x="206"/>
        <item x="62"/>
        <item x="226"/>
        <item x="48"/>
        <item x="172"/>
        <item x="227"/>
        <item x="202"/>
        <item x="130"/>
        <item x="21"/>
        <item x="103"/>
        <item x="167"/>
        <item x="221"/>
        <item x="177"/>
        <item x="106"/>
        <item x="160"/>
        <item x="191"/>
        <item x="188"/>
        <item x="96"/>
        <item x="184"/>
        <item x="9"/>
        <item x="87"/>
        <item x="26"/>
        <item x="182"/>
        <item x="195"/>
        <item x="118"/>
        <item x="11"/>
        <item x="32"/>
        <item x="105"/>
        <item x="197"/>
        <item x="91"/>
        <item x="59"/>
        <item x="189"/>
        <item x="143"/>
        <item x="205"/>
        <item x="128"/>
        <item x="228"/>
        <item x="2"/>
        <item x="1"/>
        <item x="231"/>
        <item x="168"/>
        <item x="150"/>
        <item x="84"/>
        <item x="14"/>
        <item x="16"/>
        <item x="214"/>
        <item x="86"/>
        <item x="193"/>
        <item x="136"/>
        <item x="31"/>
        <item x="211"/>
        <item x="99"/>
        <item x="236"/>
        <item x="131"/>
        <item x="107"/>
        <item x="192"/>
        <item x="238"/>
        <item x="49"/>
        <item x="111"/>
        <item x="165"/>
        <item x="235"/>
        <item x="230"/>
        <item x="6"/>
        <item x="174"/>
        <item x="101"/>
        <item x="219"/>
        <item x="185"/>
        <item x="154"/>
        <item x="159"/>
        <item x="183"/>
        <item x="223"/>
        <item x="133"/>
        <item x="20"/>
        <item x="123"/>
        <item x="65"/>
        <item x="144"/>
        <item x="8"/>
        <item x="147"/>
        <item x="39"/>
        <item x="245"/>
        <item x="64"/>
        <item x="218"/>
        <item x="141"/>
        <item x="203"/>
        <item x="244"/>
        <item x="166"/>
        <item x="66"/>
        <item x="121"/>
        <item x="27"/>
        <item x="33"/>
        <item x="171"/>
        <item x="56"/>
        <item x="217"/>
        <item x="117"/>
        <item x="134"/>
        <item x="246"/>
        <item x="81"/>
        <item x="50"/>
        <item x="61"/>
        <item x="139"/>
        <item x="53"/>
        <item x="93"/>
        <item x="234"/>
        <item x="113"/>
        <item x="148"/>
        <item x="79"/>
        <item x="92"/>
        <item x="181"/>
        <item x="140"/>
        <item x="212"/>
        <item x="153"/>
        <item x="186"/>
        <item x="229"/>
        <item x="38"/>
        <item t="default"/>
      </items>
    </pivotField>
    <pivotField showAll="0">
      <items count="7">
        <item x="4"/>
        <item x="2"/>
        <item x="3"/>
        <item x="5"/>
        <item x="0"/>
        <item x="1"/>
        <item t="default"/>
      </items>
    </pivotField>
    <pivotField showAll="0">
      <items count="4">
        <item x="2"/>
        <item x="1"/>
        <item x="0"/>
        <item t="default"/>
      </items>
    </pivotField>
    <pivotField showAll="0">
      <items count="7">
        <item x="1"/>
        <item x="3"/>
        <item x="5"/>
        <item x="2"/>
        <item x="4"/>
        <item x="0"/>
        <item t="default"/>
      </items>
    </pivotField>
    <pivotField axis="axisRow" showAll="0">
      <items count="7">
        <item x="2"/>
        <item x="4"/>
        <item x="1"/>
        <item x="5"/>
        <item x="0"/>
        <item x="3"/>
        <item t="default"/>
      </items>
    </pivotField>
    <pivotField showAll="0">
      <items count="6">
        <item x="4"/>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i>
    <i>
      <x v="1"/>
    </i>
    <i>
      <x v="2"/>
    </i>
    <i>
      <x v="3"/>
    </i>
    <i>
      <x v="4"/>
    </i>
    <i>
      <x v="5"/>
    </i>
    <i t="grand">
      <x/>
    </i>
  </rowItems>
  <colFields count="1">
    <field x="-2"/>
  </colFields>
  <colItems count="2">
    <i>
      <x/>
    </i>
    <i i="1">
      <x v="1"/>
    </i>
  </colItems>
  <dataFields count="2">
    <dataField name="Candidates" fld="0" subtotal="count" baseField="0" baseItem="0"/>
    <dataField name="Selected"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5AA23A-7679-43ED-A315-589EA736B3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cruiter">
  <location ref="A28:C34" firstHeaderRow="0" firstDataRow="1" firstDataCol="1"/>
  <pivotFields count="23">
    <pivotField dataField="1" showAll="0"/>
    <pivotField showAll="0"/>
    <pivotField numFmtId="14" showAll="0">
      <items count="248">
        <item x="46"/>
        <item x="18"/>
        <item x="95"/>
        <item x="180"/>
        <item x="10"/>
        <item x="24"/>
        <item x="83"/>
        <item x="114"/>
        <item x="127"/>
        <item x="72"/>
        <item x="175"/>
        <item x="90"/>
        <item x="169"/>
        <item x="145"/>
        <item x="73"/>
        <item x="240"/>
        <item x="78"/>
        <item x="45"/>
        <item x="135"/>
        <item x="124"/>
        <item x="22"/>
        <item x="187"/>
        <item x="89"/>
        <item x="67"/>
        <item x="243"/>
        <item x="137"/>
        <item x="88"/>
        <item x="233"/>
        <item x="149"/>
        <item x="34"/>
        <item x="54"/>
        <item x="4"/>
        <item x="157"/>
        <item x="155"/>
        <item x="41"/>
        <item x="97"/>
        <item x="164"/>
        <item x="35"/>
        <item x="5"/>
        <item x="13"/>
        <item x="152"/>
        <item x="29"/>
        <item x="190"/>
        <item x="138"/>
        <item x="142"/>
        <item x="125"/>
        <item x="213"/>
        <item x="19"/>
        <item x="170"/>
        <item x="239"/>
        <item x="220"/>
        <item x="98"/>
        <item x="201"/>
        <item x="242"/>
        <item x="71"/>
        <item x="161"/>
        <item x="51"/>
        <item x="162"/>
        <item x="194"/>
        <item x="40"/>
        <item x="129"/>
        <item x="224"/>
        <item x="104"/>
        <item x="60"/>
        <item x="100"/>
        <item x="55"/>
        <item x="70"/>
        <item x="196"/>
        <item x="232"/>
        <item x="237"/>
        <item x="85"/>
        <item x="110"/>
        <item x="241"/>
        <item x="122"/>
        <item x="109"/>
        <item x="80"/>
        <item x="198"/>
        <item x="3"/>
        <item x="36"/>
        <item x="102"/>
        <item x="156"/>
        <item x="69"/>
        <item x="225"/>
        <item x="82"/>
        <item x="216"/>
        <item x="52"/>
        <item x="37"/>
        <item x="173"/>
        <item x="28"/>
        <item x="108"/>
        <item x="0"/>
        <item x="178"/>
        <item x="215"/>
        <item x="146"/>
        <item x="94"/>
        <item x="126"/>
        <item x="158"/>
        <item x="76"/>
        <item x="115"/>
        <item x="207"/>
        <item x="15"/>
        <item x="120"/>
        <item x="132"/>
        <item x="25"/>
        <item x="30"/>
        <item x="200"/>
        <item x="209"/>
        <item x="116"/>
        <item x="222"/>
        <item x="43"/>
        <item x="163"/>
        <item x="58"/>
        <item x="210"/>
        <item x="119"/>
        <item x="68"/>
        <item x="44"/>
        <item x="75"/>
        <item x="47"/>
        <item x="179"/>
        <item x="7"/>
        <item x="77"/>
        <item x="57"/>
        <item x="204"/>
        <item x="74"/>
        <item x="12"/>
        <item x="199"/>
        <item x="63"/>
        <item x="42"/>
        <item x="23"/>
        <item x="151"/>
        <item x="176"/>
        <item x="208"/>
        <item x="17"/>
        <item x="112"/>
        <item x="206"/>
        <item x="62"/>
        <item x="226"/>
        <item x="48"/>
        <item x="172"/>
        <item x="227"/>
        <item x="202"/>
        <item x="130"/>
        <item x="21"/>
        <item x="103"/>
        <item x="167"/>
        <item x="221"/>
        <item x="177"/>
        <item x="106"/>
        <item x="160"/>
        <item x="191"/>
        <item x="188"/>
        <item x="96"/>
        <item x="184"/>
        <item x="9"/>
        <item x="87"/>
        <item x="26"/>
        <item x="182"/>
        <item x="195"/>
        <item x="118"/>
        <item x="11"/>
        <item x="32"/>
        <item x="105"/>
        <item x="197"/>
        <item x="91"/>
        <item x="59"/>
        <item x="189"/>
        <item x="143"/>
        <item x="205"/>
        <item x="128"/>
        <item x="228"/>
        <item x="2"/>
        <item x="1"/>
        <item x="231"/>
        <item x="168"/>
        <item x="150"/>
        <item x="84"/>
        <item x="14"/>
        <item x="16"/>
        <item x="214"/>
        <item x="86"/>
        <item x="193"/>
        <item x="136"/>
        <item x="31"/>
        <item x="211"/>
        <item x="99"/>
        <item x="236"/>
        <item x="131"/>
        <item x="107"/>
        <item x="192"/>
        <item x="238"/>
        <item x="49"/>
        <item x="111"/>
        <item x="165"/>
        <item x="235"/>
        <item x="230"/>
        <item x="6"/>
        <item x="174"/>
        <item x="101"/>
        <item x="219"/>
        <item x="185"/>
        <item x="154"/>
        <item x="159"/>
        <item x="183"/>
        <item x="223"/>
        <item x="133"/>
        <item x="20"/>
        <item x="123"/>
        <item x="65"/>
        <item x="144"/>
        <item x="8"/>
        <item x="147"/>
        <item x="39"/>
        <item x="245"/>
        <item x="64"/>
        <item x="218"/>
        <item x="141"/>
        <item x="203"/>
        <item x="244"/>
        <item x="166"/>
        <item x="66"/>
        <item x="121"/>
        <item x="27"/>
        <item x="33"/>
        <item x="171"/>
        <item x="56"/>
        <item x="217"/>
        <item x="117"/>
        <item x="134"/>
        <item x="246"/>
        <item x="81"/>
        <item x="50"/>
        <item x="61"/>
        <item x="139"/>
        <item x="53"/>
        <item x="93"/>
        <item x="234"/>
        <item x="113"/>
        <item x="148"/>
        <item x="79"/>
        <item x="92"/>
        <item x="181"/>
        <item x="140"/>
        <item x="212"/>
        <item x="153"/>
        <item x="186"/>
        <item x="229"/>
        <item x="38"/>
        <item t="default"/>
      </items>
    </pivotField>
    <pivotField showAll="0">
      <items count="7">
        <item x="4"/>
        <item x="2"/>
        <item x="3"/>
        <item x="5"/>
        <item x="0"/>
        <item x="1"/>
        <item t="default"/>
      </items>
    </pivotField>
    <pivotField showAll="0">
      <items count="4">
        <item x="2"/>
        <item x="1"/>
        <item x="0"/>
        <item t="default"/>
      </items>
    </pivotField>
    <pivotField showAll="0">
      <items count="7">
        <item x="1"/>
        <item x="3"/>
        <item x="5"/>
        <item x="2"/>
        <item x="4"/>
        <item x="0"/>
        <item t="default"/>
      </items>
    </pivotField>
    <pivotField showAll="0">
      <items count="7">
        <item x="2"/>
        <item x="4"/>
        <item x="1"/>
        <item x="5"/>
        <item x="0"/>
        <item x="3"/>
        <item t="default"/>
      </items>
    </pivotField>
    <pivotField axis="axisRow" showAll="0">
      <items count="6">
        <item x="4"/>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Fields count="1">
    <field x="-2"/>
  </colFields>
  <colItems count="2">
    <i>
      <x/>
    </i>
    <i i="1">
      <x v="1"/>
    </i>
  </colItems>
  <dataFields count="2">
    <dataField name="Candidates" fld="0" subtotal="count" baseField="0" baseItem="0"/>
    <dataField name="Selected Candidat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D8A2C1-C79C-4836-B70A-2B4C18E8202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iring Position">
  <location ref="A17:C24" firstHeaderRow="0" firstDataRow="1" firstDataCol="1"/>
  <pivotFields count="23">
    <pivotField dataField="1" showAll="0"/>
    <pivotField showAll="0"/>
    <pivotField numFmtId="14" showAll="0">
      <items count="248">
        <item x="46"/>
        <item x="18"/>
        <item x="95"/>
        <item x="180"/>
        <item x="10"/>
        <item x="24"/>
        <item x="83"/>
        <item x="114"/>
        <item x="127"/>
        <item x="72"/>
        <item x="175"/>
        <item x="90"/>
        <item x="169"/>
        <item x="145"/>
        <item x="73"/>
        <item x="240"/>
        <item x="78"/>
        <item x="45"/>
        <item x="135"/>
        <item x="124"/>
        <item x="22"/>
        <item x="187"/>
        <item x="89"/>
        <item x="67"/>
        <item x="243"/>
        <item x="137"/>
        <item x="88"/>
        <item x="233"/>
        <item x="149"/>
        <item x="34"/>
        <item x="54"/>
        <item x="4"/>
        <item x="157"/>
        <item x="155"/>
        <item x="41"/>
        <item x="97"/>
        <item x="164"/>
        <item x="35"/>
        <item x="5"/>
        <item x="13"/>
        <item x="152"/>
        <item x="29"/>
        <item x="190"/>
        <item x="138"/>
        <item x="142"/>
        <item x="125"/>
        <item x="213"/>
        <item x="19"/>
        <item x="170"/>
        <item x="239"/>
        <item x="220"/>
        <item x="98"/>
        <item x="201"/>
        <item x="242"/>
        <item x="71"/>
        <item x="161"/>
        <item x="51"/>
        <item x="162"/>
        <item x="194"/>
        <item x="40"/>
        <item x="129"/>
        <item x="224"/>
        <item x="104"/>
        <item x="60"/>
        <item x="100"/>
        <item x="55"/>
        <item x="70"/>
        <item x="196"/>
        <item x="232"/>
        <item x="237"/>
        <item x="85"/>
        <item x="110"/>
        <item x="241"/>
        <item x="122"/>
        <item x="109"/>
        <item x="80"/>
        <item x="198"/>
        <item x="3"/>
        <item x="36"/>
        <item x="102"/>
        <item x="156"/>
        <item x="69"/>
        <item x="225"/>
        <item x="82"/>
        <item x="216"/>
        <item x="52"/>
        <item x="37"/>
        <item x="173"/>
        <item x="28"/>
        <item x="108"/>
        <item x="0"/>
        <item x="178"/>
        <item x="215"/>
        <item x="146"/>
        <item x="94"/>
        <item x="126"/>
        <item x="158"/>
        <item x="76"/>
        <item x="115"/>
        <item x="207"/>
        <item x="15"/>
        <item x="120"/>
        <item x="132"/>
        <item x="25"/>
        <item x="30"/>
        <item x="200"/>
        <item x="209"/>
        <item x="116"/>
        <item x="222"/>
        <item x="43"/>
        <item x="163"/>
        <item x="58"/>
        <item x="210"/>
        <item x="119"/>
        <item x="68"/>
        <item x="44"/>
        <item x="75"/>
        <item x="47"/>
        <item x="179"/>
        <item x="7"/>
        <item x="77"/>
        <item x="57"/>
        <item x="204"/>
        <item x="74"/>
        <item x="12"/>
        <item x="199"/>
        <item x="63"/>
        <item x="42"/>
        <item x="23"/>
        <item x="151"/>
        <item x="176"/>
        <item x="208"/>
        <item x="17"/>
        <item x="112"/>
        <item x="206"/>
        <item x="62"/>
        <item x="226"/>
        <item x="48"/>
        <item x="172"/>
        <item x="227"/>
        <item x="202"/>
        <item x="130"/>
        <item x="21"/>
        <item x="103"/>
        <item x="167"/>
        <item x="221"/>
        <item x="177"/>
        <item x="106"/>
        <item x="160"/>
        <item x="191"/>
        <item x="188"/>
        <item x="96"/>
        <item x="184"/>
        <item x="9"/>
        <item x="87"/>
        <item x="26"/>
        <item x="182"/>
        <item x="195"/>
        <item x="118"/>
        <item x="11"/>
        <item x="32"/>
        <item x="105"/>
        <item x="197"/>
        <item x="91"/>
        <item x="59"/>
        <item x="189"/>
        <item x="143"/>
        <item x="205"/>
        <item x="128"/>
        <item x="228"/>
        <item x="2"/>
        <item x="1"/>
        <item x="231"/>
        <item x="168"/>
        <item x="150"/>
        <item x="84"/>
        <item x="14"/>
        <item x="16"/>
        <item x="214"/>
        <item x="86"/>
        <item x="193"/>
        <item x="136"/>
        <item x="31"/>
        <item x="211"/>
        <item x="99"/>
        <item x="236"/>
        <item x="131"/>
        <item x="107"/>
        <item x="192"/>
        <item x="238"/>
        <item x="49"/>
        <item x="111"/>
        <item x="165"/>
        <item x="235"/>
        <item x="230"/>
        <item x="6"/>
        <item x="174"/>
        <item x="101"/>
        <item x="219"/>
        <item x="185"/>
        <item x="154"/>
        <item x="159"/>
        <item x="183"/>
        <item x="223"/>
        <item x="133"/>
        <item x="20"/>
        <item x="123"/>
        <item x="65"/>
        <item x="144"/>
        <item x="8"/>
        <item x="147"/>
        <item x="39"/>
        <item x="245"/>
        <item x="64"/>
        <item x="218"/>
        <item x="141"/>
        <item x="203"/>
        <item x="244"/>
        <item x="166"/>
        <item x="66"/>
        <item x="121"/>
        <item x="27"/>
        <item x="33"/>
        <item x="171"/>
        <item x="56"/>
        <item x="217"/>
        <item x="117"/>
        <item x="134"/>
        <item x="246"/>
        <item x="81"/>
        <item x="50"/>
        <item x="61"/>
        <item x="139"/>
        <item x="53"/>
        <item x="93"/>
        <item x="234"/>
        <item x="113"/>
        <item x="148"/>
        <item x="79"/>
        <item x="92"/>
        <item x="181"/>
        <item x="140"/>
        <item x="212"/>
        <item x="153"/>
        <item x="186"/>
        <item x="229"/>
        <item x="38"/>
        <item t="default"/>
      </items>
    </pivotField>
    <pivotField axis="axisRow" showAll="0">
      <items count="7">
        <item x="4"/>
        <item x="2"/>
        <item x="3"/>
        <item x="5"/>
        <item x="0"/>
        <item x="1"/>
        <item t="default"/>
      </items>
    </pivotField>
    <pivotField showAll="0">
      <items count="4">
        <item x="2"/>
        <item x="1"/>
        <item x="0"/>
        <item t="default"/>
      </items>
    </pivotField>
    <pivotField showAll="0">
      <items count="7">
        <item x="1"/>
        <item x="3"/>
        <item x="5"/>
        <item x="2"/>
        <item x="4"/>
        <item x="0"/>
        <item t="default"/>
      </items>
    </pivotField>
    <pivotField showAll="0">
      <items count="7">
        <item x="2"/>
        <item x="4"/>
        <item x="1"/>
        <item x="5"/>
        <item x="0"/>
        <item x="3"/>
        <item t="default"/>
      </items>
    </pivotField>
    <pivotField showAll="0">
      <items count="6">
        <item x="4"/>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Candidates" fld="0" subtotal="count" baseField="0" baseItem="0"/>
    <dataField name="Selected Candidat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9DBBC1-2C7A-4E17-A702-9F5A703130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A3:C13" firstHeaderRow="0" firstDataRow="1" firstDataCol="1"/>
  <pivotFields count="23">
    <pivotField dataField="1" showAll="0"/>
    <pivotField showAll="0"/>
    <pivotField axis="axisRow" numFmtId="14" showAll="0">
      <items count="248">
        <item x="46"/>
        <item x="18"/>
        <item x="95"/>
        <item x="180"/>
        <item x="10"/>
        <item x="24"/>
        <item x="83"/>
        <item x="114"/>
        <item x="127"/>
        <item x="72"/>
        <item x="175"/>
        <item x="90"/>
        <item x="169"/>
        <item x="145"/>
        <item x="73"/>
        <item x="240"/>
        <item x="78"/>
        <item x="45"/>
        <item x="135"/>
        <item x="124"/>
        <item x="22"/>
        <item x="187"/>
        <item x="89"/>
        <item x="67"/>
        <item x="243"/>
        <item x="137"/>
        <item x="88"/>
        <item x="233"/>
        <item x="149"/>
        <item x="34"/>
        <item x="54"/>
        <item x="4"/>
        <item x="157"/>
        <item x="155"/>
        <item x="41"/>
        <item x="97"/>
        <item x="164"/>
        <item x="35"/>
        <item x="5"/>
        <item x="13"/>
        <item x="152"/>
        <item x="29"/>
        <item x="190"/>
        <item x="138"/>
        <item x="142"/>
        <item x="125"/>
        <item x="213"/>
        <item x="19"/>
        <item x="170"/>
        <item x="239"/>
        <item x="220"/>
        <item x="98"/>
        <item x="201"/>
        <item x="242"/>
        <item x="71"/>
        <item x="161"/>
        <item x="51"/>
        <item x="162"/>
        <item x="194"/>
        <item x="40"/>
        <item x="129"/>
        <item x="224"/>
        <item x="104"/>
        <item x="60"/>
        <item x="100"/>
        <item x="55"/>
        <item x="70"/>
        <item x="196"/>
        <item x="232"/>
        <item x="237"/>
        <item x="85"/>
        <item x="110"/>
        <item x="241"/>
        <item x="122"/>
        <item x="109"/>
        <item x="80"/>
        <item x="198"/>
        <item x="3"/>
        <item x="36"/>
        <item x="102"/>
        <item x="156"/>
        <item x="69"/>
        <item x="225"/>
        <item x="82"/>
        <item x="216"/>
        <item x="52"/>
        <item x="37"/>
        <item x="173"/>
        <item x="28"/>
        <item x="108"/>
        <item x="0"/>
        <item x="178"/>
        <item x="215"/>
        <item x="146"/>
        <item x="94"/>
        <item x="126"/>
        <item x="158"/>
        <item x="76"/>
        <item x="115"/>
        <item x="207"/>
        <item x="15"/>
        <item x="120"/>
        <item x="132"/>
        <item x="25"/>
        <item x="30"/>
        <item x="200"/>
        <item x="209"/>
        <item x="116"/>
        <item x="222"/>
        <item x="43"/>
        <item x="163"/>
        <item x="58"/>
        <item x="210"/>
        <item x="119"/>
        <item x="68"/>
        <item x="44"/>
        <item x="75"/>
        <item x="47"/>
        <item x="179"/>
        <item x="7"/>
        <item x="77"/>
        <item x="57"/>
        <item x="204"/>
        <item x="74"/>
        <item x="12"/>
        <item x="199"/>
        <item x="63"/>
        <item x="42"/>
        <item x="23"/>
        <item x="151"/>
        <item x="176"/>
        <item x="208"/>
        <item x="17"/>
        <item x="112"/>
        <item x="206"/>
        <item x="62"/>
        <item x="226"/>
        <item x="48"/>
        <item x="172"/>
        <item x="227"/>
        <item x="202"/>
        <item x="130"/>
        <item x="21"/>
        <item x="103"/>
        <item x="167"/>
        <item x="221"/>
        <item x="177"/>
        <item x="106"/>
        <item x="160"/>
        <item x="191"/>
        <item x="188"/>
        <item x="96"/>
        <item x="184"/>
        <item x="9"/>
        <item x="87"/>
        <item x="26"/>
        <item x="182"/>
        <item x="195"/>
        <item x="118"/>
        <item x="11"/>
        <item x="32"/>
        <item x="105"/>
        <item x="197"/>
        <item x="91"/>
        <item x="59"/>
        <item x="189"/>
        <item x="143"/>
        <item x="205"/>
        <item x="128"/>
        <item x="228"/>
        <item x="2"/>
        <item x="1"/>
        <item x="231"/>
        <item x="168"/>
        <item x="150"/>
        <item x="84"/>
        <item x="14"/>
        <item x="16"/>
        <item x="214"/>
        <item x="86"/>
        <item x="193"/>
        <item x="136"/>
        <item x="31"/>
        <item x="211"/>
        <item x="99"/>
        <item x="236"/>
        <item x="131"/>
        <item x="107"/>
        <item x="192"/>
        <item x="238"/>
        <item x="49"/>
        <item x="111"/>
        <item x="165"/>
        <item x="235"/>
        <item x="230"/>
        <item x="6"/>
        <item x="174"/>
        <item x="101"/>
        <item x="219"/>
        <item x="185"/>
        <item x="154"/>
        <item x="159"/>
        <item x="183"/>
        <item x="223"/>
        <item x="133"/>
        <item x="20"/>
        <item x="123"/>
        <item x="65"/>
        <item x="144"/>
        <item x="8"/>
        <item x="147"/>
        <item x="39"/>
        <item x="245"/>
        <item x="64"/>
        <item x="218"/>
        <item x="141"/>
        <item x="203"/>
        <item x="244"/>
        <item x="166"/>
        <item x="66"/>
        <item x="121"/>
        <item x="27"/>
        <item x="33"/>
        <item x="171"/>
        <item x="56"/>
        <item x="217"/>
        <item x="117"/>
        <item x="134"/>
        <item x="246"/>
        <item x="81"/>
        <item x="50"/>
        <item x="61"/>
        <item x="139"/>
        <item x="53"/>
        <item x="93"/>
        <item x="234"/>
        <item x="113"/>
        <item x="148"/>
        <item x="79"/>
        <item x="92"/>
        <item x="181"/>
        <item x="140"/>
        <item x="212"/>
        <item x="153"/>
        <item x="186"/>
        <item x="229"/>
        <item x="38"/>
        <item t="default"/>
      </items>
    </pivotField>
    <pivotField showAll="0">
      <items count="7">
        <item x="4"/>
        <item x="2"/>
        <item x="3"/>
        <item x="5"/>
        <item x="0"/>
        <item x="1"/>
        <item t="default"/>
      </items>
    </pivotField>
    <pivotField showAll="0">
      <items count="4">
        <item x="2"/>
        <item x="1"/>
        <item x="0"/>
        <item t="default"/>
      </items>
    </pivotField>
    <pivotField showAll="0">
      <items count="7">
        <item x="1"/>
        <item x="3"/>
        <item x="5"/>
        <item x="2"/>
        <item x="4"/>
        <item x="0"/>
        <item t="default"/>
      </items>
    </pivotField>
    <pivotField showAll="0">
      <items count="7">
        <item x="2"/>
        <item x="4"/>
        <item x="1"/>
        <item x="5"/>
        <item x="0"/>
        <item x="3"/>
        <item t="default"/>
      </items>
    </pivotField>
    <pivotField showAll="0">
      <items count="6">
        <item x="4"/>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2"/>
    <field x="21"/>
    <field x="2"/>
  </rowFields>
  <rowItems count="10">
    <i>
      <x v="1"/>
    </i>
    <i>
      <x v="2"/>
    </i>
    <i>
      <x v="3"/>
    </i>
    <i>
      <x v="4"/>
    </i>
    <i>
      <x v="5"/>
    </i>
    <i>
      <x v="6"/>
    </i>
    <i>
      <x v="7"/>
    </i>
    <i>
      <x v="8"/>
    </i>
    <i>
      <x v="9"/>
    </i>
    <i t="grand">
      <x/>
    </i>
  </rowItems>
  <colFields count="1">
    <field x="-2"/>
  </colFields>
  <colItems count="2">
    <i>
      <x/>
    </i>
    <i i="1">
      <x v="1"/>
    </i>
  </colItems>
  <dataFields count="2">
    <dataField name=" Candidates" fld="0" subtotal="count" baseField="0" baseItem="0"/>
    <dataField name="Selected Candidates"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FCBEB6-3205-46AB-A66C-69A09BFAEAA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Location">
  <location ref="A57:C64" firstHeaderRow="0" firstDataRow="1" firstDataCol="1"/>
  <pivotFields count="23">
    <pivotField dataField="1" showAll="0"/>
    <pivotField showAll="0"/>
    <pivotField numFmtId="14" showAll="0">
      <items count="248">
        <item x="46"/>
        <item x="18"/>
        <item x="95"/>
        <item x="180"/>
        <item x="10"/>
        <item x="24"/>
        <item x="83"/>
        <item x="114"/>
        <item x="127"/>
        <item x="72"/>
        <item x="175"/>
        <item x="90"/>
        <item x="169"/>
        <item x="145"/>
        <item x="73"/>
        <item x="240"/>
        <item x="78"/>
        <item x="45"/>
        <item x="135"/>
        <item x="124"/>
        <item x="22"/>
        <item x="187"/>
        <item x="89"/>
        <item x="67"/>
        <item x="243"/>
        <item x="137"/>
        <item x="88"/>
        <item x="233"/>
        <item x="149"/>
        <item x="34"/>
        <item x="54"/>
        <item x="4"/>
        <item x="157"/>
        <item x="155"/>
        <item x="41"/>
        <item x="97"/>
        <item x="164"/>
        <item x="35"/>
        <item x="5"/>
        <item x="13"/>
        <item x="152"/>
        <item x="29"/>
        <item x="190"/>
        <item x="138"/>
        <item x="142"/>
        <item x="125"/>
        <item x="213"/>
        <item x="19"/>
        <item x="170"/>
        <item x="239"/>
        <item x="220"/>
        <item x="98"/>
        <item x="201"/>
        <item x="242"/>
        <item x="71"/>
        <item x="161"/>
        <item x="51"/>
        <item x="162"/>
        <item x="194"/>
        <item x="40"/>
        <item x="129"/>
        <item x="224"/>
        <item x="104"/>
        <item x="60"/>
        <item x="100"/>
        <item x="55"/>
        <item x="70"/>
        <item x="196"/>
        <item x="232"/>
        <item x="237"/>
        <item x="85"/>
        <item x="110"/>
        <item x="241"/>
        <item x="122"/>
        <item x="109"/>
        <item x="80"/>
        <item x="198"/>
        <item x="3"/>
        <item x="36"/>
        <item x="102"/>
        <item x="156"/>
        <item x="69"/>
        <item x="225"/>
        <item x="82"/>
        <item x="216"/>
        <item x="52"/>
        <item x="37"/>
        <item x="173"/>
        <item x="28"/>
        <item x="108"/>
        <item x="0"/>
        <item x="178"/>
        <item x="215"/>
        <item x="146"/>
        <item x="94"/>
        <item x="126"/>
        <item x="158"/>
        <item x="76"/>
        <item x="115"/>
        <item x="207"/>
        <item x="15"/>
        <item x="120"/>
        <item x="132"/>
        <item x="25"/>
        <item x="30"/>
        <item x="200"/>
        <item x="209"/>
        <item x="116"/>
        <item x="222"/>
        <item x="43"/>
        <item x="163"/>
        <item x="58"/>
        <item x="210"/>
        <item x="119"/>
        <item x="68"/>
        <item x="44"/>
        <item x="75"/>
        <item x="47"/>
        <item x="179"/>
        <item x="7"/>
        <item x="77"/>
        <item x="57"/>
        <item x="204"/>
        <item x="74"/>
        <item x="12"/>
        <item x="199"/>
        <item x="63"/>
        <item x="42"/>
        <item x="23"/>
        <item x="151"/>
        <item x="176"/>
        <item x="208"/>
        <item x="17"/>
        <item x="112"/>
        <item x="206"/>
        <item x="62"/>
        <item x="226"/>
        <item x="48"/>
        <item x="172"/>
        <item x="227"/>
        <item x="202"/>
        <item x="130"/>
        <item x="21"/>
        <item x="103"/>
        <item x="167"/>
        <item x="221"/>
        <item x="177"/>
        <item x="106"/>
        <item x="160"/>
        <item x="191"/>
        <item x="188"/>
        <item x="96"/>
        <item x="184"/>
        <item x="9"/>
        <item x="87"/>
        <item x="26"/>
        <item x="182"/>
        <item x="195"/>
        <item x="118"/>
        <item x="11"/>
        <item x="32"/>
        <item x="105"/>
        <item x="197"/>
        <item x="91"/>
        <item x="59"/>
        <item x="189"/>
        <item x="143"/>
        <item x="205"/>
        <item x="128"/>
        <item x="228"/>
        <item x="2"/>
        <item x="1"/>
        <item x="231"/>
        <item x="168"/>
        <item x="150"/>
        <item x="84"/>
        <item x="14"/>
        <item x="16"/>
        <item x="214"/>
        <item x="86"/>
        <item x="193"/>
        <item x="136"/>
        <item x="31"/>
        <item x="211"/>
        <item x="99"/>
        <item x="236"/>
        <item x="131"/>
        <item x="107"/>
        <item x="192"/>
        <item x="238"/>
        <item x="49"/>
        <item x="111"/>
        <item x="165"/>
        <item x="235"/>
        <item x="230"/>
        <item x="6"/>
        <item x="174"/>
        <item x="101"/>
        <item x="219"/>
        <item x="185"/>
        <item x="154"/>
        <item x="159"/>
        <item x="183"/>
        <item x="223"/>
        <item x="133"/>
        <item x="20"/>
        <item x="123"/>
        <item x="65"/>
        <item x="144"/>
        <item x="8"/>
        <item x="147"/>
        <item x="39"/>
        <item x="245"/>
        <item x="64"/>
        <item x="218"/>
        <item x="141"/>
        <item x="203"/>
        <item x="244"/>
        <item x="166"/>
        <item x="66"/>
        <item x="121"/>
        <item x="27"/>
        <item x="33"/>
        <item x="171"/>
        <item x="56"/>
        <item x="217"/>
        <item x="117"/>
        <item x="134"/>
        <item x="246"/>
        <item x="81"/>
        <item x="50"/>
        <item x="61"/>
        <item x="139"/>
        <item x="53"/>
        <item x="93"/>
        <item x="234"/>
        <item x="113"/>
        <item x="148"/>
        <item x="79"/>
        <item x="92"/>
        <item x="181"/>
        <item x="140"/>
        <item x="212"/>
        <item x="153"/>
        <item x="186"/>
        <item x="229"/>
        <item x="38"/>
        <item t="default"/>
      </items>
    </pivotField>
    <pivotField showAll="0">
      <items count="7">
        <item x="4"/>
        <item x="2"/>
        <item x="3"/>
        <item x="5"/>
        <item x="0"/>
        <item x="1"/>
        <item t="default"/>
      </items>
    </pivotField>
    <pivotField showAll="0">
      <items count="4">
        <item x="2"/>
        <item x="1"/>
        <item x="0"/>
        <item t="default"/>
      </items>
    </pivotField>
    <pivotField axis="axisRow" showAll="0">
      <items count="7">
        <item x="1"/>
        <item x="3"/>
        <item x="5"/>
        <item x="2"/>
        <item x="4"/>
        <item x="0"/>
        <item t="default"/>
      </items>
    </pivotField>
    <pivotField showAll="0">
      <items count="7">
        <item x="2"/>
        <item x="4"/>
        <item x="1"/>
        <item x="5"/>
        <item x="0"/>
        <item x="3"/>
        <item t="default"/>
      </items>
    </pivotField>
    <pivotField showAll="0">
      <items count="6">
        <item x="4"/>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i>
    <i>
      <x v="1"/>
    </i>
    <i>
      <x v="2"/>
    </i>
    <i>
      <x v="3"/>
    </i>
    <i>
      <x v="4"/>
    </i>
    <i>
      <x v="5"/>
    </i>
    <i t="grand">
      <x/>
    </i>
  </rowItems>
  <colFields count="1">
    <field x="-2"/>
  </colFields>
  <colItems count="2">
    <i>
      <x/>
    </i>
    <i i="1">
      <x v="1"/>
    </i>
  </colItems>
  <dataFields count="2">
    <dataField name="Candidates" fld="0" subtotal="count" baseField="0" baseItem="0"/>
    <dataField name="Selected "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AC32BD-B8E4-402E-9A39-3D0F624F921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ecruitment Stage">
  <location ref="A49:B53" firstHeaderRow="1" firstDataRow="1" firstDataCol="1"/>
  <pivotFields count="23">
    <pivotField dataField="1" showAll="0"/>
    <pivotField showAll="0"/>
    <pivotField numFmtId="14" showAll="0">
      <items count="248">
        <item x="46"/>
        <item x="18"/>
        <item x="95"/>
        <item x="180"/>
        <item x="10"/>
        <item x="24"/>
        <item x="83"/>
        <item x="114"/>
        <item x="127"/>
        <item x="72"/>
        <item x="175"/>
        <item x="90"/>
        <item x="169"/>
        <item x="145"/>
        <item x="73"/>
        <item x="240"/>
        <item x="78"/>
        <item x="45"/>
        <item x="135"/>
        <item x="124"/>
        <item x="22"/>
        <item x="187"/>
        <item x="89"/>
        <item x="67"/>
        <item x="243"/>
        <item x="137"/>
        <item x="88"/>
        <item x="233"/>
        <item x="149"/>
        <item x="34"/>
        <item x="54"/>
        <item x="4"/>
        <item x="157"/>
        <item x="155"/>
        <item x="41"/>
        <item x="97"/>
        <item x="164"/>
        <item x="35"/>
        <item x="5"/>
        <item x="13"/>
        <item x="152"/>
        <item x="29"/>
        <item x="190"/>
        <item x="138"/>
        <item x="142"/>
        <item x="125"/>
        <item x="213"/>
        <item x="19"/>
        <item x="170"/>
        <item x="239"/>
        <item x="220"/>
        <item x="98"/>
        <item x="201"/>
        <item x="242"/>
        <item x="71"/>
        <item x="161"/>
        <item x="51"/>
        <item x="162"/>
        <item x="194"/>
        <item x="40"/>
        <item x="129"/>
        <item x="224"/>
        <item x="104"/>
        <item x="60"/>
        <item x="100"/>
        <item x="55"/>
        <item x="70"/>
        <item x="196"/>
        <item x="232"/>
        <item x="237"/>
        <item x="85"/>
        <item x="110"/>
        <item x="241"/>
        <item x="122"/>
        <item x="109"/>
        <item x="80"/>
        <item x="198"/>
        <item x="3"/>
        <item x="36"/>
        <item x="102"/>
        <item x="156"/>
        <item x="69"/>
        <item x="225"/>
        <item x="82"/>
        <item x="216"/>
        <item x="52"/>
        <item x="37"/>
        <item x="173"/>
        <item x="28"/>
        <item x="108"/>
        <item x="0"/>
        <item x="178"/>
        <item x="215"/>
        <item x="146"/>
        <item x="94"/>
        <item x="126"/>
        <item x="158"/>
        <item x="76"/>
        <item x="115"/>
        <item x="207"/>
        <item x="15"/>
        <item x="120"/>
        <item x="132"/>
        <item x="25"/>
        <item x="30"/>
        <item x="200"/>
        <item x="209"/>
        <item x="116"/>
        <item x="222"/>
        <item x="43"/>
        <item x="163"/>
        <item x="58"/>
        <item x="210"/>
        <item x="119"/>
        <item x="68"/>
        <item x="44"/>
        <item x="75"/>
        <item x="47"/>
        <item x="179"/>
        <item x="7"/>
        <item x="77"/>
        <item x="57"/>
        <item x="204"/>
        <item x="74"/>
        <item x="12"/>
        <item x="199"/>
        <item x="63"/>
        <item x="42"/>
        <item x="23"/>
        <item x="151"/>
        <item x="176"/>
        <item x="208"/>
        <item x="17"/>
        <item x="112"/>
        <item x="206"/>
        <item x="62"/>
        <item x="226"/>
        <item x="48"/>
        <item x="172"/>
        <item x="227"/>
        <item x="202"/>
        <item x="130"/>
        <item x="21"/>
        <item x="103"/>
        <item x="167"/>
        <item x="221"/>
        <item x="177"/>
        <item x="106"/>
        <item x="160"/>
        <item x="191"/>
        <item x="188"/>
        <item x="96"/>
        <item x="184"/>
        <item x="9"/>
        <item x="87"/>
        <item x="26"/>
        <item x="182"/>
        <item x="195"/>
        <item x="118"/>
        <item x="11"/>
        <item x="32"/>
        <item x="105"/>
        <item x="197"/>
        <item x="91"/>
        <item x="59"/>
        <item x="189"/>
        <item x="143"/>
        <item x="205"/>
        <item x="128"/>
        <item x="228"/>
        <item x="2"/>
        <item x="1"/>
        <item x="231"/>
        <item x="168"/>
        <item x="150"/>
        <item x="84"/>
        <item x="14"/>
        <item x="16"/>
        <item x="214"/>
        <item x="86"/>
        <item x="193"/>
        <item x="136"/>
        <item x="31"/>
        <item x="211"/>
        <item x="99"/>
        <item x="236"/>
        <item x="131"/>
        <item x="107"/>
        <item x="192"/>
        <item x="238"/>
        <item x="49"/>
        <item x="111"/>
        <item x="165"/>
        <item x="235"/>
        <item x="230"/>
        <item x="6"/>
        <item x="174"/>
        <item x="101"/>
        <item x="219"/>
        <item x="185"/>
        <item x="154"/>
        <item x="159"/>
        <item x="183"/>
        <item x="223"/>
        <item x="133"/>
        <item x="20"/>
        <item x="123"/>
        <item x="65"/>
        <item x="144"/>
        <item x="8"/>
        <item x="147"/>
        <item x="39"/>
        <item x="245"/>
        <item x="64"/>
        <item x="218"/>
        <item x="141"/>
        <item x="203"/>
        <item x="244"/>
        <item x="166"/>
        <item x="66"/>
        <item x="121"/>
        <item x="27"/>
        <item x="33"/>
        <item x="171"/>
        <item x="56"/>
        <item x="217"/>
        <item x="117"/>
        <item x="134"/>
        <item x="246"/>
        <item x="81"/>
        <item x="50"/>
        <item x="61"/>
        <item x="139"/>
        <item x="53"/>
        <item x="93"/>
        <item x="234"/>
        <item x="113"/>
        <item x="148"/>
        <item x="79"/>
        <item x="92"/>
        <item x="181"/>
        <item x="140"/>
        <item x="212"/>
        <item x="153"/>
        <item x="186"/>
        <item x="229"/>
        <item x="38"/>
        <item t="default"/>
      </items>
    </pivotField>
    <pivotField showAll="0">
      <items count="7">
        <item x="4"/>
        <item x="2"/>
        <item x="3"/>
        <item x="5"/>
        <item x="0"/>
        <item x="1"/>
        <item t="default"/>
      </items>
    </pivotField>
    <pivotField showAll="0">
      <items count="4">
        <item x="2"/>
        <item x="1"/>
        <item x="0"/>
        <item t="default"/>
      </items>
    </pivotField>
    <pivotField showAll="0">
      <items count="7">
        <item x="1"/>
        <item x="3"/>
        <item x="5"/>
        <item x="2"/>
        <item x="4"/>
        <item x="0"/>
        <item t="default"/>
      </items>
    </pivotField>
    <pivotField showAll="0">
      <items count="7">
        <item x="2"/>
        <item x="4"/>
        <item x="1"/>
        <item x="5"/>
        <item x="0"/>
        <item x="3"/>
        <item t="default"/>
      </items>
    </pivotField>
    <pivotField showAll="0">
      <items count="6">
        <item x="4"/>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4">
    <i>
      <x/>
    </i>
    <i>
      <x v="1"/>
    </i>
    <i>
      <x v="2"/>
    </i>
    <i t="grand">
      <x/>
    </i>
  </rowItems>
  <colItems count="1">
    <i/>
  </colItems>
  <dataFields count="1">
    <dataField name="Candidate" fld="0" subtotal="count"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08E85AD-AA50-4BF3-8E6C-31E9953354DF}" sourceName="Location">
  <pivotTables>
    <pivotTable tabId="7" name="PivotTable9"/>
    <pivotTable tabId="7" name="PivotTable11"/>
    <pivotTable tabId="7" name="PivotTable5"/>
    <pivotTable tabId="7" name="PivotTable6"/>
    <pivotTable tabId="7" name="PivotTable7"/>
    <pivotTable tabId="7" name="PivotTable8"/>
  </pivotTables>
  <data>
    <tabular pivotCacheId="2044166144">
      <items count="6">
        <i x="1" s="1"/>
        <i x="3" s="1"/>
        <i x="5"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79A3B7F4-96D2-4BCC-9295-B07603AC1255}" sourceName="Position">
  <pivotTables>
    <pivotTable tabId="7" name="PivotTable9"/>
    <pivotTable tabId="7" name="PivotTable11"/>
    <pivotTable tabId="7" name="PivotTable5"/>
    <pivotTable tabId="7" name="PivotTable6"/>
    <pivotTable tabId="7" name="PivotTable7"/>
    <pivotTable tabId="7" name="PivotTable8"/>
  </pivotTables>
  <data>
    <tabular pivotCacheId="2044166144">
      <items count="6">
        <i x="4" s="1"/>
        <i x="2" s="1"/>
        <i x="3" s="1"/>
        <i x="5"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463D74E-8EA7-4297-BC95-1025209653EE}" sourceName="Department">
  <pivotTables>
    <pivotTable tabId="7" name="PivotTable9"/>
    <pivotTable tabId="7" name="PivotTable11"/>
    <pivotTable tabId="7" name="PivotTable5"/>
    <pivotTable tabId="7" name="PivotTable6"/>
    <pivotTable tabId="7" name="PivotTable7"/>
    <pivotTable tabId="7" name="PivotTable8"/>
  </pivotTables>
  <data>
    <tabular pivotCacheId="204416614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4DE8963E-2544-4B99-85AC-9B7F033DE8ED}" sourceName="Source">
  <pivotTables>
    <pivotTable tabId="7" name="PivotTable9"/>
    <pivotTable tabId="7" name="PivotTable11"/>
    <pivotTable tabId="7" name="PivotTable5"/>
    <pivotTable tabId="7" name="PivotTable6"/>
    <pivotTable tabId="7" name="PivotTable7"/>
    <pivotTable tabId="7" name="PivotTable8"/>
  </pivotTables>
  <data>
    <tabular pivotCacheId="2044166144">
      <items count="6">
        <i x="2" s="1"/>
        <i x="4" s="1"/>
        <i x="1" s="1"/>
        <i x="5"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er" xr10:uid="{D01D689C-2A13-427E-B941-A21A6D5EF3CC}" sourceName="Recruiter">
  <pivotTables>
    <pivotTable tabId="7" name="PivotTable9"/>
    <pivotTable tabId="7" name="PivotTable11"/>
    <pivotTable tabId="7" name="PivotTable5"/>
    <pivotTable tabId="7" name="PivotTable6"/>
    <pivotTable tabId="7" name="PivotTable7"/>
    <pivotTable tabId="7" name="PivotTable8"/>
  </pivotTables>
  <data>
    <tabular pivotCacheId="2044166144">
      <items count="5">
        <i x="4" s="1"/>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3DD339A4-F7C1-4729-9451-3422DA7C766B}" cache="Slicer_Location" caption="Location" rowHeight="241300"/>
  <slicer name="Position" xr10:uid="{BC3A528C-EFE3-4F1E-ABE0-798EA6BB32D8}" cache="Slicer_Position" caption="Position" rowHeight="241300"/>
  <slicer name="Department" xr10:uid="{E516CCED-4DDA-4D94-9630-0134E6FD6DBB}" cache="Slicer_Department" caption="Department" rowHeight="241300"/>
  <slicer name="Department 1" xr10:uid="{FAEC7231-CEE4-46A4-A399-0924DAFA3B96}" cache="Slicer_Department" caption="Department" rowHeight="241300"/>
  <slicer name="Source" xr10:uid="{16A326D7-EC6E-4AA3-93D8-91A26724B9FC}" cache="Slicer_Source" caption="Source" rowHeight="241300"/>
  <slicer name="Recruiter" xr10:uid="{408D41C5-E0BF-40C6-AAF7-CE27B8261DEB}" cache="Slicer_Recruiter" caption="Recruit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DE8B58-8212-42B3-AB81-6EB11767F5E7}" name="RecruitmentTable" displayName="RecruitmentTable" ref="A1:U751" totalsRowShown="0" headerRowDxfId="9" headerRowBorderDxfId="8" tableBorderDxfId="7">
  <autoFilter ref="A1:U751" xr:uid="{00000000-0009-0000-0000-000000000000}"/>
  <tableColumns count="21">
    <tableColumn id="1" xr3:uid="{EBA4E29B-BA7F-45AF-AA90-53E13591D152}" name="Candidate ID"/>
    <tableColumn id="2" xr3:uid="{FBA47EFB-8749-4727-A1C9-A8077FCB8479}" name="Candidate Name"/>
    <tableColumn id="3" xr3:uid="{51AB3C15-3B86-4402-90D2-C5FE0D472B09}" name="Application Date" dataDxfId="6"/>
    <tableColumn id="4" xr3:uid="{F46486F6-8D91-4697-B133-A4E67D25F1BA}" name="Position"/>
    <tableColumn id="5" xr3:uid="{21922F24-B38B-4033-AB08-A7D6741665BE}" name="Department"/>
    <tableColumn id="6" xr3:uid="{52A3FC69-3F9B-46F9-B8B1-F5768A167C00}" name="Location"/>
    <tableColumn id="7" xr3:uid="{664E045E-6FAF-4F32-83A8-51D32860CCF1}" name="Source"/>
    <tableColumn id="8" xr3:uid="{E4D1A7F9-9554-4076-8C97-A8CB9380BED7}" name="Recruiter"/>
    <tableColumn id="9" xr3:uid="{3BE37096-88E3-41E2-955A-A7524D14EF23}" name="Screening Status"/>
    <tableColumn id="10" xr3:uid="{24A727F8-B921-4660-A2BD-3B77D3F4E109}" name="Interview Stage"/>
    <tableColumn id="11" xr3:uid="{97E8181A-0D1C-4669-8C02-E0FBDBDE0DF1}" name="Interview Date" dataDxfId="5"/>
    <tableColumn id="12" xr3:uid="{4AEDC60F-6033-4B3D-BE45-6342BA08935A}" name="Interview Status"/>
    <tableColumn id="13" xr3:uid="{AD079465-A65F-4189-B4ED-17F470F439E0}" name="Final Status"/>
    <tableColumn id="14" xr3:uid="{51FF89F4-684C-49BC-985A-9DE4C817AA1E}" name="Offer Date" dataDxfId="4"/>
    <tableColumn id="15" xr3:uid="{FD68EEF4-67FB-4614-A709-D224450BD42D}" name="Joining Status"/>
    <tableColumn id="16" xr3:uid="{5885C077-D5FE-4659-9446-5E7C6A85BE8A}" name="Joining Date" dataDxfId="3"/>
    <tableColumn id="17" xr3:uid="{D49DE995-8AB6-4C24-82F4-ECEB748709BE}" name="Days to Interview"/>
    <tableColumn id="18" xr3:uid="{75746E82-48C0-44C6-B75A-428DB6CFE7C4}" name="Days to Offer"/>
    <tableColumn id="19" xr3:uid="{177BF391-1894-4C30-A064-A00A8D8EFDD8}" name="Days to Join"/>
    <tableColumn id="20" xr3:uid="{CB67D9ED-D602-421E-B3A1-90BCE4C19F47}" name="Recruitment Stage" dataDxfId="2">
      <calculatedColumnFormula>IF(RecruitmentTable[[#This Row],[Final Status]]="In process","Screening",IF(RecruitmentTable[[#This Row],[Final Status]]="Selected","Offer","Rejected"))</calculatedColumnFormula>
    </tableColumn>
    <tableColumn id="21" xr3:uid="{DD6F93DE-D88D-4948-A26C-80315C7C9769}" name="Selection Flag" dataDxfId="1">
      <calculatedColumnFormula>IF(RecruitmentTable[[#This Row],[Final Status]]="Selected",1,0)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FF2B1-B766-48B9-A51E-5C5CF1EED3BB}">
  <dimension ref="A1:AF10"/>
  <sheetViews>
    <sheetView showGridLines="0" topLeftCell="A29" zoomScale="83" workbookViewId="0">
      <selection activeCell="AF8" sqref="AF8"/>
    </sheetView>
  </sheetViews>
  <sheetFormatPr defaultRowHeight="15" x14ac:dyDescent="0.25"/>
  <cols>
    <col min="1" max="1" width="7" customWidth="1"/>
    <col min="2" max="9" width="20.7109375" customWidth="1"/>
  </cols>
  <sheetData>
    <row r="1" spans="1:32" ht="15" customHeight="1" x14ac:dyDescent="0.25">
      <c r="A1" s="11" t="s">
        <v>1107</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row>
    <row r="2" spans="1:32" x14ac:dyDescent="0.2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2"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row>
    <row r="5" spans="1:32" ht="30" customHeight="1" x14ac:dyDescent="0.35">
      <c r="A5" s="9"/>
      <c r="B5" s="13"/>
      <c r="C5" s="14"/>
      <c r="D5" s="13"/>
      <c r="E5" s="14"/>
      <c r="F5" s="13"/>
      <c r="G5" s="14"/>
      <c r="H5" s="13"/>
      <c r="I5" s="14"/>
    </row>
    <row r="6" spans="1:32" ht="30" customHeight="1" x14ac:dyDescent="0.5">
      <c r="A6" s="6"/>
      <c r="B6" s="15"/>
      <c r="C6" s="15"/>
      <c r="D6" s="15"/>
      <c r="E6" s="15"/>
      <c r="F6" s="15"/>
      <c r="G6" s="15"/>
      <c r="H6" s="15"/>
      <c r="I6" s="15"/>
    </row>
    <row r="7" spans="1:32" x14ac:dyDescent="0.25">
      <c r="A7" s="6"/>
      <c r="B7" s="6"/>
    </row>
    <row r="10" spans="1:32" x14ac:dyDescent="0.25">
      <c r="D10" s="10"/>
    </row>
  </sheetData>
  <mergeCells count="9">
    <mergeCell ref="A1:AF4"/>
    <mergeCell ref="B5:C5"/>
    <mergeCell ref="B6:C6"/>
    <mergeCell ref="D5:E5"/>
    <mergeCell ref="D6:E6"/>
    <mergeCell ref="F5:G5"/>
    <mergeCell ref="F6:G6"/>
    <mergeCell ref="H5:I5"/>
    <mergeCell ref="H6:I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D9449-16A9-44A4-B0E3-20D602C93A11}">
  <dimension ref="A1:E64"/>
  <sheetViews>
    <sheetView topLeftCell="A32" zoomScale="58" zoomScaleNormal="100" workbookViewId="0">
      <selection activeCell="M12" sqref="M12"/>
    </sheetView>
  </sheetViews>
  <sheetFormatPr defaultRowHeight="15" x14ac:dyDescent="0.25"/>
  <cols>
    <col min="1" max="1" width="17.7109375" bestFit="1" customWidth="1"/>
    <col min="2" max="2" width="10.85546875" bestFit="1" customWidth="1"/>
    <col min="3" max="3" width="8.7109375" bestFit="1" customWidth="1"/>
  </cols>
  <sheetData>
    <row r="1" spans="1:5" x14ac:dyDescent="0.25">
      <c r="A1" s="18" t="s">
        <v>1097</v>
      </c>
      <c r="B1" s="17"/>
      <c r="C1" s="17"/>
    </row>
    <row r="2" spans="1:5" x14ac:dyDescent="0.25">
      <c r="A2" s="17"/>
      <c r="B2" s="17"/>
      <c r="C2" s="17"/>
    </row>
    <row r="3" spans="1:5" x14ac:dyDescent="0.25">
      <c r="A3" s="4" t="s">
        <v>1096</v>
      </c>
      <c r="B3" t="s">
        <v>1106</v>
      </c>
      <c r="C3" t="s">
        <v>1085</v>
      </c>
    </row>
    <row r="4" spans="1:5" x14ac:dyDescent="0.25">
      <c r="A4" s="5" t="s">
        <v>1087</v>
      </c>
      <c r="B4">
        <v>80</v>
      </c>
      <c r="C4">
        <v>9</v>
      </c>
    </row>
    <row r="5" spans="1:5" x14ac:dyDescent="0.25">
      <c r="A5" s="5" t="s">
        <v>1088</v>
      </c>
      <c r="B5">
        <v>67</v>
      </c>
      <c r="C5">
        <v>4</v>
      </c>
    </row>
    <row r="6" spans="1:5" x14ac:dyDescent="0.25">
      <c r="A6" s="5" t="s">
        <v>1089</v>
      </c>
      <c r="B6">
        <v>81</v>
      </c>
      <c r="C6">
        <v>9</v>
      </c>
    </row>
    <row r="7" spans="1:5" x14ac:dyDescent="0.25">
      <c r="A7" s="5" t="s">
        <v>1090</v>
      </c>
      <c r="B7">
        <v>93</v>
      </c>
      <c r="C7">
        <v>16</v>
      </c>
    </row>
    <row r="8" spans="1:5" x14ac:dyDescent="0.25">
      <c r="A8" s="5" t="s">
        <v>1091</v>
      </c>
      <c r="B8">
        <v>87</v>
      </c>
      <c r="C8">
        <v>10</v>
      </c>
    </row>
    <row r="9" spans="1:5" x14ac:dyDescent="0.25">
      <c r="A9" s="5" t="s">
        <v>1092</v>
      </c>
      <c r="B9">
        <v>94</v>
      </c>
      <c r="C9">
        <v>10</v>
      </c>
    </row>
    <row r="10" spans="1:5" x14ac:dyDescent="0.25">
      <c r="A10" s="5" t="s">
        <v>1093</v>
      </c>
      <c r="B10">
        <v>95</v>
      </c>
      <c r="C10">
        <v>7</v>
      </c>
    </row>
    <row r="11" spans="1:5" x14ac:dyDescent="0.25">
      <c r="A11" s="5" t="s">
        <v>1094</v>
      </c>
      <c r="B11">
        <v>88</v>
      </c>
      <c r="C11">
        <v>8</v>
      </c>
    </row>
    <row r="12" spans="1:5" x14ac:dyDescent="0.25">
      <c r="A12" s="5" t="s">
        <v>1095</v>
      </c>
      <c r="B12">
        <v>65</v>
      </c>
      <c r="C12">
        <v>7</v>
      </c>
    </row>
    <row r="13" spans="1:5" x14ac:dyDescent="0.25">
      <c r="A13" s="5" t="s">
        <v>1083</v>
      </c>
      <c r="B13">
        <v>750</v>
      </c>
      <c r="C13">
        <v>80</v>
      </c>
    </row>
    <row r="15" spans="1:5" x14ac:dyDescent="0.25">
      <c r="A15" s="16" t="s">
        <v>1098</v>
      </c>
      <c r="B15" s="17"/>
      <c r="C15" s="17"/>
    </row>
    <row r="16" spans="1:5" x14ac:dyDescent="0.25">
      <c r="A16" s="17"/>
      <c r="B16" s="17"/>
      <c r="C16" s="17"/>
      <c r="E16" s="7"/>
    </row>
    <row r="17" spans="1:5" x14ac:dyDescent="0.25">
      <c r="A17" s="4" t="s">
        <v>1086</v>
      </c>
      <c r="B17" t="s">
        <v>1103</v>
      </c>
      <c r="C17" t="s">
        <v>1085</v>
      </c>
    </row>
    <row r="18" spans="1:5" x14ac:dyDescent="0.25">
      <c r="A18" s="5" t="s">
        <v>65</v>
      </c>
      <c r="B18">
        <v>134</v>
      </c>
      <c r="C18">
        <v>9</v>
      </c>
    </row>
    <row r="19" spans="1:5" x14ac:dyDescent="0.25">
      <c r="A19" s="5" t="s">
        <v>41</v>
      </c>
      <c r="B19">
        <v>192</v>
      </c>
      <c r="C19">
        <v>25</v>
      </c>
    </row>
    <row r="20" spans="1:5" ht="19.5" x14ac:dyDescent="0.25">
      <c r="A20" s="5" t="s">
        <v>56</v>
      </c>
      <c r="B20">
        <v>115</v>
      </c>
      <c r="C20">
        <v>13</v>
      </c>
      <c r="E20" s="8"/>
    </row>
    <row r="21" spans="1:5" x14ac:dyDescent="0.25">
      <c r="A21" s="5" t="s">
        <v>83</v>
      </c>
      <c r="B21">
        <v>86</v>
      </c>
      <c r="C21">
        <v>7</v>
      </c>
    </row>
    <row r="22" spans="1:5" x14ac:dyDescent="0.25">
      <c r="A22" s="5" t="s">
        <v>21</v>
      </c>
      <c r="B22">
        <v>114</v>
      </c>
      <c r="C22">
        <v>14</v>
      </c>
    </row>
    <row r="23" spans="1:5" x14ac:dyDescent="0.25">
      <c r="A23" s="5" t="s">
        <v>33</v>
      </c>
      <c r="B23">
        <v>109</v>
      </c>
      <c r="C23">
        <v>12</v>
      </c>
    </row>
    <row r="24" spans="1:5" x14ac:dyDescent="0.25">
      <c r="A24" s="5" t="s">
        <v>1083</v>
      </c>
      <c r="B24">
        <v>750</v>
      </c>
      <c r="C24">
        <v>80</v>
      </c>
    </row>
    <row r="26" spans="1:5" x14ac:dyDescent="0.25">
      <c r="A26" s="16" t="s">
        <v>1099</v>
      </c>
      <c r="B26" s="16"/>
      <c r="C26" s="16"/>
    </row>
    <row r="27" spans="1:5" x14ac:dyDescent="0.25">
      <c r="A27" s="16"/>
      <c r="B27" s="16"/>
      <c r="C27" s="16"/>
    </row>
    <row r="28" spans="1:5" x14ac:dyDescent="0.25">
      <c r="A28" s="4" t="s">
        <v>7</v>
      </c>
      <c r="B28" t="s">
        <v>1103</v>
      </c>
      <c r="C28" t="s">
        <v>1085</v>
      </c>
    </row>
    <row r="29" spans="1:5" x14ac:dyDescent="0.25">
      <c r="A29" s="5" t="s">
        <v>72</v>
      </c>
      <c r="B29">
        <v>137</v>
      </c>
      <c r="C29">
        <v>20</v>
      </c>
    </row>
    <row r="30" spans="1:5" x14ac:dyDescent="0.25">
      <c r="A30" s="5" t="s">
        <v>44</v>
      </c>
      <c r="B30">
        <v>168</v>
      </c>
      <c r="C30">
        <v>18</v>
      </c>
    </row>
    <row r="31" spans="1:5" x14ac:dyDescent="0.25">
      <c r="A31" s="5" t="s">
        <v>25</v>
      </c>
      <c r="B31">
        <v>142</v>
      </c>
      <c r="C31">
        <v>12</v>
      </c>
    </row>
    <row r="32" spans="1:5" x14ac:dyDescent="0.25">
      <c r="A32" s="5" t="s">
        <v>62</v>
      </c>
      <c r="B32">
        <v>147</v>
      </c>
      <c r="C32">
        <v>13</v>
      </c>
    </row>
    <row r="33" spans="1:3" x14ac:dyDescent="0.25">
      <c r="A33" s="5" t="s">
        <v>51</v>
      </c>
      <c r="B33">
        <v>156</v>
      </c>
      <c r="C33">
        <v>17</v>
      </c>
    </row>
    <row r="34" spans="1:3" x14ac:dyDescent="0.25">
      <c r="A34" s="5" t="s">
        <v>1083</v>
      </c>
      <c r="B34">
        <v>750</v>
      </c>
      <c r="C34">
        <v>80</v>
      </c>
    </row>
    <row r="36" spans="1:3" x14ac:dyDescent="0.25">
      <c r="A36" s="19" t="s">
        <v>1100</v>
      </c>
      <c r="B36" s="17"/>
      <c r="C36" s="17"/>
    </row>
    <row r="37" spans="1:3" x14ac:dyDescent="0.25">
      <c r="A37" s="17"/>
      <c r="B37" s="17"/>
      <c r="C37" s="17"/>
    </row>
    <row r="38" spans="1:3" x14ac:dyDescent="0.25">
      <c r="A38" s="4" t="s">
        <v>1084</v>
      </c>
      <c r="B38" t="s">
        <v>1103</v>
      </c>
      <c r="C38" t="s">
        <v>29</v>
      </c>
    </row>
    <row r="39" spans="1:3" x14ac:dyDescent="0.25">
      <c r="A39" s="5" t="s">
        <v>47</v>
      </c>
      <c r="B39">
        <v>107</v>
      </c>
      <c r="C39">
        <v>11</v>
      </c>
    </row>
    <row r="40" spans="1:3" x14ac:dyDescent="0.25">
      <c r="A40" s="5" t="s">
        <v>71</v>
      </c>
      <c r="B40">
        <v>96</v>
      </c>
      <c r="C40">
        <v>7</v>
      </c>
    </row>
    <row r="41" spans="1:3" x14ac:dyDescent="0.25">
      <c r="A41" s="5" t="s">
        <v>36</v>
      </c>
      <c r="B41">
        <v>154</v>
      </c>
      <c r="C41">
        <v>20</v>
      </c>
    </row>
    <row r="42" spans="1:3" x14ac:dyDescent="0.25">
      <c r="A42" s="5" t="s">
        <v>84</v>
      </c>
      <c r="B42">
        <v>117</v>
      </c>
      <c r="C42">
        <v>19</v>
      </c>
    </row>
    <row r="43" spans="1:3" x14ac:dyDescent="0.25">
      <c r="A43" s="5" t="s">
        <v>24</v>
      </c>
      <c r="B43">
        <v>212</v>
      </c>
      <c r="C43">
        <v>19</v>
      </c>
    </row>
    <row r="44" spans="1:3" x14ac:dyDescent="0.25">
      <c r="A44" s="5" t="s">
        <v>66</v>
      </c>
      <c r="B44">
        <v>64</v>
      </c>
      <c r="C44">
        <v>4</v>
      </c>
    </row>
    <row r="45" spans="1:3" x14ac:dyDescent="0.25">
      <c r="A45" s="5" t="s">
        <v>1083</v>
      </c>
      <c r="B45">
        <v>750</v>
      </c>
      <c r="C45">
        <v>80</v>
      </c>
    </row>
    <row r="47" spans="1:3" x14ac:dyDescent="0.25">
      <c r="A47" s="16" t="s">
        <v>1101</v>
      </c>
      <c r="B47" s="17"/>
      <c r="C47" s="17"/>
    </row>
    <row r="48" spans="1:3" x14ac:dyDescent="0.25">
      <c r="A48" s="17"/>
      <c r="B48" s="17"/>
      <c r="C48" s="17"/>
    </row>
    <row r="49" spans="1:3" x14ac:dyDescent="0.25">
      <c r="A49" s="4" t="s">
        <v>1079</v>
      </c>
      <c r="B49" t="s">
        <v>1104</v>
      </c>
    </row>
    <row r="50" spans="1:3" x14ac:dyDescent="0.25">
      <c r="A50" s="5" t="s">
        <v>1081</v>
      </c>
      <c r="B50">
        <v>80</v>
      </c>
    </row>
    <row r="51" spans="1:3" x14ac:dyDescent="0.25">
      <c r="A51" s="5" t="s">
        <v>37</v>
      </c>
      <c r="B51">
        <v>540</v>
      </c>
    </row>
    <row r="52" spans="1:3" x14ac:dyDescent="0.25">
      <c r="A52" s="5" t="s">
        <v>1082</v>
      </c>
      <c r="B52">
        <v>130</v>
      </c>
    </row>
    <row r="53" spans="1:3" x14ac:dyDescent="0.25">
      <c r="A53" s="5" t="s">
        <v>1083</v>
      </c>
      <c r="B53">
        <v>750</v>
      </c>
    </row>
    <row r="55" spans="1:3" x14ac:dyDescent="0.25">
      <c r="A55" s="16" t="s">
        <v>1102</v>
      </c>
      <c r="B55" s="17"/>
      <c r="C55" s="17"/>
    </row>
    <row r="56" spans="1:3" x14ac:dyDescent="0.25">
      <c r="A56" s="17"/>
      <c r="B56" s="17"/>
      <c r="C56" s="17"/>
    </row>
    <row r="57" spans="1:3" x14ac:dyDescent="0.25">
      <c r="A57" s="4" t="s">
        <v>5</v>
      </c>
      <c r="B57" t="s">
        <v>1103</v>
      </c>
      <c r="C57" t="s">
        <v>1105</v>
      </c>
    </row>
    <row r="58" spans="1:3" x14ac:dyDescent="0.25">
      <c r="A58" s="5" t="s">
        <v>35</v>
      </c>
      <c r="B58">
        <v>127</v>
      </c>
      <c r="C58">
        <v>12</v>
      </c>
    </row>
    <row r="59" spans="1:3" x14ac:dyDescent="0.25">
      <c r="A59" s="5" t="s">
        <v>50</v>
      </c>
      <c r="B59">
        <v>121</v>
      </c>
      <c r="C59">
        <v>15</v>
      </c>
    </row>
    <row r="60" spans="1:3" x14ac:dyDescent="0.25">
      <c r="A60" s="5" t="s">
        <v>100</v>
      </c>
      <c r="B60">
        <v>84</v>
      </c>
      <c r="C60">
        <v>11</v>
      </c>
    </row>
    <row r="61" spans="1:3" x14ac:dyDescent="0.25">
      <c r="A61" s="5" t="s">
        <v>43</v>
      </c>
      <c r="B61">
        <v>88</v>
      </c>
      <c r="C61">
        <v>8</v>
      </c>
    </row>
    <row r="62" spans="1:3" x14ac:dyDescent="0.25">
      <c r="A62" s="5" t="s">
        <v>57</v>
      </c>
      <c r="B62">
        <v>244</v>
      </c>
      <c r="C62">
        <v>25</v>
      </c>
    </row>
    <row r="63" spans="1:3" x14ac:dyDescent="0.25">
      <c r="A63" s="5" t="s">
        <v>23</v>
      </c>
      <c r="B63">
        <v>86</v>
      </c>
      <c r="C63">
        <v>9</v>
      </c>
    </row>
    <row r="64" spans="1:3" x14ac:dyDescent="0.25">
      <c r="A64" s="5" t="s">
        <v>1083</v>
      </c>
      <c r="B64">
        <v>750</v>
      </c>
      <c r="C64">
        <v>80</v>
      </c>
    </row>
  </sheetData>
  <mergeCells count="6">
    <mergeCell ref="A47:C48"/>
    <mergeCell ref="A55:C56"/>
    <mergeCell ref="A1:C2"/>
    <mergeCell ref="A15:C16"/>
    <mergeCell ref="A26:C27"/>
    <mergeCell ref="A36:C37"/>
  </mergeCells>
  <pageMargins left="0.7" right="0.7" top="0.75" bottom="0.75" header="0.3" footer="0.3"/>
  <pageSetup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51"/>
  <sheetViews>
    <sheetView tabSelected="1" workbookViewId="0">
      <pane ySplit="1" topLeftCell="A2" activePane="bottomLeft" state="frozen"/>
      <selection pane="bottomLeft" activeCell="D9" sqref="D9"/>
    </sheetView>
  </sheetViews>
  <sheetFormatPr defaultRowHeight="15" x14ac:dyDescent="0.25"/>
  <cols>
    <col min="1" max="1" width="18.42578125" customWidth="1"/>
    <col min="2" max="2" width="23.28515625" customWidth="1"/>
    <col min="3" max="3" width="24.140625" customWidth="1"/>
    <col min="4" max="4" width="28" customWidth="1"/>
    <col min="5" max="5" width="20" customWidth="1"/>
    <col min="6" max="6" width="17.85546875" customWidth="1"/>
    <col min="7" max="7" width="19" customWidth="1"/>
    <col min="8" max="8" width="15.42578125" customWidth="1"/>
    <col min="9" max="9" width="20.140625" customWidth="1"/>
    <col min="10" max="10" width="22" customWidth="1"/>
    <col min="11" max="11" width="21" customWidth="1"/>
    <col min="12" max="12" width="20.42578125" customWidth="1"/>
    <col min="13" max="13" width="19.42578125" customWidth="1"/>
    <col min="14" max="14" width="21" style="1" customWidth="1"/>
    <col min="15" max="15" width="18.28515625" customWidth="1"/>
    <col min="16" max="16" width="21" style="1" customWidth="1"/>
    <col min="17" max="17" width="20.7109375" customWidth="1"/>
    <col min="18" max="18" width="17.28515625" customWidth="1"/>
    <col min="19" max="19" width="18.85546875" customWidth="1"/>
    <col min="20" max="20" width="23.140625" customWidth="1"/>
    <col min="21" max="21" width="16.42578125" customWidth="1"/>
  </cols>
  <sheetData>
    <row r="1" spans="1:2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1079</v>
      </c>
      <c r="U1" s="3" t="s">
        <v>1080</v>
      </c>
    </row>
    <row r="2" spans="1:21" x14ac:dyDescent="0.25">
      <c r="A2" t="s">
        <v>19</v>
      </c>
      <c r="B2" t="s">
        <v>20</v>
      </c>
      <c r="C2" s="1">
        <v>46125</v>
      </c>
      <c r="D2" t="s">
        <v>21</v>
      </c>
      <c r="E2" t="s">
        <v>22</v>
      </c>
      <c r="F2" t="s">
        <v>23</v>
      </c>
      <c r="G2" t="s">
        <v>24</v>
      </c>
      <c r="H2" t="s">
        <v>25</v>
      </c>
      <c r="I2" t="s">
        <v>26</v>
      </c>
      <c r="J2" t="s">
        <v>27</v>
      </c>
      <c r="K2" s="1">
        <v>46136</v>
      </c>
      <c r="L2" t="s">
        <v>28</v>
      </c>
      <c r="M2" t="s">
        <v>29</v>
      </c>
      <c r="N2" s="1">
        <v>46140</v>
      </c>
      <c r="O2" t="s">
        <v>30</v>
      </c>
      <c r="P2" s="1">
        <v>46170</v>
      </c>
      <c r="Q2">
        <v>11</v>
      </c>
      <c r="R2">
        <v>4</v>
      </c>
      <c r="S2">
        <v>30</v>
      </c>
      <c r="T2" t="str">
        <f>IF(RecruitmentTable[[#This Row],[Final Status]]="In process","Screening",IF(RecruitmentTable[[#This Row],[Final Status]]="Selected","Offer","Rejected"))</f>
        <v>Offer</v>
      </c>
      <c r="U2">
        <f>IF(RecruitmentTable[[#This Row],[Final Status]]="Selected",1,0)</f>
        <v>1</v>
      </c>
    </row>
    <row r="3" spans="1:21" x14ac:dyDescent="0.25">
      <c r="A3" t="s">
        <v>31</v>
      </c>
      <c r="B3" t="s">
        <v>32</v>
      </c>
      <c r="C3" s="1">
        <v>46214</v>
      </c>
      <c r="D3" t="s">
        <v>33</v>
      </c>
      <c r="E3" t="s">
        <v>34</v>
      </c>
      <c r="F3" t="s">
        <v>35</v>
      </c>
      <c r="G3" t="s">
        <v>36</v>
      </c>
      <c r="H3" t="s">
        <v>25</v>
      </c>
      <c r="I3" t="s">
        <v>26</v>
      </c>
      <c r="J3" t="s">
        <v>27</v>
      </c>
      <c r="K3" s="1">
        <v>46227</v>
      </c>
      <c r="L3" t="s">
        <v>28</v>
      </c>
      <c r="M3" t="s">
        <v>37</v>
      </c>
      <c r="O3" t="s">
        <v>38</v>
      </c>
      <c r="Q3">
        <v>13</v>
      </c>
      <c r="T3" t="str">
        <f>IF(RecruitmentTable[[#This Row],[Final Status]]="In process","Screening",IF(RecruitmentTable[[#This Row],[Final Status]]="Selected","Offer","Rejected"))</f>
        <v>Rejected</v>
      </c>
      <c r="U3">
        <f>IF(RecruitmentTable[[#This Row],[Final Status]]="Selected",1,0)</f>
        <v>0</v>
      </c>
    </row>
    <row r="4" spans="1:21" x14ac:dyDescent="0.25">
      <c r="A4" t="s">
        <v>39</v>
      </c>
      <c r="B4" t="s">
        <v>40</v>
      </c>
      <c r="C4" s="1">
        <v>46212</v>
      </c>
      <c r="D4" t="s">
        <v>41</v>
      </c>
      <c r="E4" t="s">
        <v>42</v>
      </c>
      <c r="F4" t="s">
        <v>43</v>
      </c>
      <c r="G4" t="s">
        <v>36</v>
      </c>
      <c r="H4" t="s">
        <v>44</v>
      </c>
      <c r="I4" t="s">
        <v>26</v>
      </c>
      <c r="J4" t="s">
        <v>27</v>
      </c>
      <c r="K4" s="1">
        <v>46220</v>
      </c>
      <c r="L4" t="s">
        <v>28</v>
      </c>
      <c r="M4" t="s">
        <v>37</v>
      </c>
      <c r="O4" t="s">
        <v>38</v>
      </c>
      <c r="Q4">
        <v>8</v>
      </c>
      <c r="T4" t="str">
        <f>IF(RecruitmentTable[[#This Row],[Final Status]]="In process","Screening",IF(RecruitmentTable[[#This Row],[Final Status]]="Selected","Offer","Rejected"))</f>
        <v>Rejected</v>
      </c>
      <c r="U4">
        <f>IF(RecruitmentTable[[#This Row],[Final Status]]="Selected",1,0)</f>
        <v>0</v>
      </c>
    </row>
    <row r="5" spans="1:21" x14ac:dyDescent="0.25">
      <c r="A5" t="s">
        <v>45</v>
      </c>
      <c r="B5" t="s">
        <v>46</v>
      </c>
      <c r="C5" s="1">
        <v>46111</v>
      </c>
      <c r="D5" t="s">
        <v>33</v>
      </c>
      <c r="E5" t="s">
        <v>34</v>
      </c>
      <c r="F5" t="s">
        <v>43</v>
      </c>
      <c r="G5" t="s">
        <v>47</v>
      </c>
      <c r="H5" t="s">
        <v>25</v>
      </c>
      <c r="I5" t="s">
        <v>26</v>
      </c>
      <c r="J5" t="s">
        <v>27</v>
      </c>
      <c r="K5" s="1">
        <v>46126</v>
      </c>
      <c r="L5" t="s">
        <v>28</v>
      </c>
      <c r="M5" t="s">
        <v>37</v>
      </c>
      <c r="O5" t="s">
        <v>38</v>
      </c>
      <c r="Q5">
        <v>15</v>
      </c>
      <c r="T5" t="str">
        <f>IF(RecruitmentTable[[#This Row],[Final Status]]="In process","Screening",IF(RecruitmentTable[[#This Row],[Final Status]]="Selected","Offer","Rejected"))</f>
        <v>Rejected</v>
      </c>
      <c r="U5">
        <f>IF(RecruitmentTable[[#This Row],[Final Status]]="Selected",1,0)</f>
        <v>0</v>
      </c>
    </row>
    <row r="6" spans="1:21" x14ac:dyDescent="0.25">
      <c r="A6" t="s">
        <v>48</v>
      </c>
      <c r="B6" t="s">
        <v>49</v>
      </c>
      <c r="C6" s="1">
        <v>46057</v>
      </c>
      <c r="D6" t="s">
        <v>33</v>
      </c>
      <c r="E6" t="s">
        <v>34</v>
      </c>
      <c r="F6" t="s">
        <v>50</v>
      </c>
      <c r="G6" t="s">
        <v>24</v>
      </c>
      <c r="H6" t="s">
        <v>51</v>
      </c>
      <c r="I6" t="s">
        <v>26</v>
      </c>
      <c r="J6" t="s">
        <v>27</v>
      </c>
      <c r="K6" s="1">
        <v>46073</v>
      </c>
      <c r="L6" t="s">
        <v>28</v>
      </c>
      <c r="M6" t="s">
        <v>37</v>
      </c>
      <c r="O6" t="s">
        <v>38</v>
      </c>
      <c r="Q6">
        <v>16</v>
      </c>
      <c r="T6" t="str">
        <f>IF(RecruitmentTable[[#This Row],[Final Status]]="In process","Screening",IF(RecruitmentTable[[#This Row],[Final Status]]="Selected","Offer","Rejected"))</f>
        <v>Rejected</v>
      </c>
      <c r="U6">
        <f>IF(RecruitmentTable[[#This Row],[Final Status]]="Selected",1,0)</f>
        <v>0</v>
      </c>
    </row>
    <row r="7" spans="1:21" x14ac:dyDescent="0.25">
      <c r="A7" t="s">
        <v>52</v>
      </c>
      <c r="B7" t="s">
        <v>53</v>
      </c>
      <c r="C7" s="1">
        <v>46066</v>
      </c>
      <c r="D7" t="s">
        <v>33</v>
      </c>
      <c r="E7" t="s">
        <v>34</v>
      </c>
      <c r="F7" t="s">
        <v>35</v>
      </c>
      <c r="G7" t="s">
        <v>47</v>
      </c>
      <c r="H7" t="s">
        <v>44</v>
      </c>
      <c r="I7" t="s">
        <v>26</v>
      </c>
      <c r="J7" t="s">
        <v>27</v>
      </c>
      <c r="K7" s="1">
        <v>46071</v>
      </c>
      <c r="L7" t="s">
        <v>28</v>
      </c>
      <c r="M7" t="s">
        <v>37</v>
      </c>
      <c r="O7" t="s">
        <v>38</v>
      </c>
      <c r="Q7">
        <v>5</v>
      </c>
      <c r="T7" t="str">
        <f>IF(RecruitmentTable[[#This Row],[Final Status]]="In process","Screening",IF(RecruitmentTable[[#This Row],[Final Status]]="Selected","Offer","Rejected"))</f>
        <v>Rejected</v>
      </c>
      <c r="U7">
        <f>IF(RecruitmentTable[[#This Row],[Final Status]]="Selected",1,0)</f>
        <v>0</v>
      </c>
    </row>
    <row r="8" spans="1:21" x14ac:dyDescent="0.25">
      <c r="A8" t="s">
        <v>54</v>
      </c>
      <c r="B8" t="s">
        <v>55</v>
      </c>
      <c r="C8" s="1">
        <v>46239</v>
      </c>
      <c r="D8" t="s">
        <v>56</v>
      </c>
      <c r="E8" t="s">
        <v>34</v>
      </c>
      <c r="F8" t="s">
        <v>57</v>
      </c>
      <c r="G8" t="s">
        <v>36</v>
      </c>
      <c r="H8" t="s">
        <v>25</v>
      </c>
      <c r="I8" t="s">
        <v>26</v>
      </c>
      <c r="J8" t="s">
        <v>38</v>
      </c>
      <c r="K8" s="1"/>
      <c r="L8" t="s">
        <v>58</v>
      </c>
      <c r="M8" t="s">
        <v>59</v>
      </c>
      <c r="O8" t="s">
        <v>38</v>
      </c>
      <c r="T8" t="str">
        <f>IF(RecruitmentTable[[#This Row],[Final Status]]="In process","Screening",IF(RecruitmentTable[[#This Row],[Final Status]]="Selected","Offer","Rejected"))</f>
        <v>Screening</v>
      </c>
      <c r="U8">
        <f>IF(RecruitmentTable[[#This Row],[Final Status]]="Selected",1,0)</f>
        <v>0</v>
      </c>
    </row>
    <row r="9" spans="1:21" x14ac:dyDescent="0.25">
      <c r="A9" t="s">
        <v>60</v>
      </c>
      <c r="B9" t="s">
        <v>61</v>
      </c>
      <c r="C9" s="1">
        <v>46158</v>
      </c>
      <c r="D9" t="s">
        <v>41</v>
      </c>
      <c r="E9" t="s">
        <v>42</v>
      </c>
      <c r="F9" t="s">
        <v>50</v>
      </c>
      <c r="G9" t="s">
        <v>47</v>
      </c>
      <c r="H9" t="s">
        <v>62</v>
      </c>
      <c r="I9" t="s">
        <v>37</v>
      </c>
      <c r="J9" t="s">
        <v>38</v>
      </c>
      <c r="K9" s="1"/>
      <c r="L9" t="s">
        <v>38</v>
      </c>
      <c r="M9" t="s">
        <v>37</v>
      </c>
      <c r="O9" t="s">
        <v>38</v>
      </c>
      <c r="T9" t="str">
        <f>IF(RecruitmentTable[[#This Row],[Final Status]]="In process","Screening",IF(RecruitmentTable[[#This Row],[Final Status]]="Selected","Offer","Rejected"))</f>
        <v>Rejected</v>
      </c>
      <c r="U9">
        <f>IF(RecruitmentTable[[#This Row],[Final Status]]="Selected",1,0)</f>
        <v>0</v>
      </c>
    </row>
    <row r="10" spans="1:21" x14ac:dyDescent="0.25">
      <c r="A10" t="s">
        <v>63</v>
      </c>
      <c r="B10" t="s">
        <v>64</v>
      </c>
      <c r="C10" s="1">
        <v>46253</v>
      </c>
      <c r="D10" t="s">
        <v>65</v>
      </c>
      <c r="E10" t="s">
        <v>42</v>
      </c>
      <c r="F10" t="s">
        <v>23</v>
      </c>
      <c r="G10" t="s">
        <v>66</v>
      </c>
      <c r="H10" t="s">
        <v>44</v>
      </c>
      <c r="I10" t="s">
        <v>26</v>
      </c>
      <c r="J10" t="s">
        <v>27</v>
      </c>
      <c r="K10" s="1">
        <v>46264</v>
      </c>
      <c r="L10" t="s">
        <v>28</v>
      </c>
      <c r="M10" t="s">
        <v>37</v>
      </c>
      <c r="O10" t="s">
        <v>38</v>
      </c>
      <c r="Q10">
        <v>11</v>
      </c>
      <c r="T10" t="str">
        <f>IF(RecruitmentTable[[#This Row],[Final Status]]="In process","Screening",IF(RecruitmentTable[[#This Row],[Final Status]]="Selected","Offer","Rejected"))</f>
        <v>Rejected</v>
      </c>
      <c r="U10">
        <f>IF(RecruitmentTable[[#This Row],[Final Status]]="Selected",1,0)</f>
        <v>0</v>
      </c>
    </row>
    <row r="11" spans="1:21" x14ac:dyDescent="0.25">
      <c r="A11" t="s">
        <v>67</v>
      </c>
      <c r="B11" t="s">
        <v>68</v>
      </c>
      <c r="C11" s="1">
        <v>46194</v>
      </c>
      <c r="D11" t="s">
        <v>65</v>
      </c>
      <c r="E11" t="s">
        <v>42</v>
      </c>
      <c r="F11" t="s">
        <v>35</v>
      </c>
      <c r="G11" t="s">
        <v>47</v>
      </c>
      <c r="H11" t="s">
        <v>25</v>
      </c>
      <c r="I11" t="s">
        <v>37</v>
      </c>
      <c r="J11" t="s">
        <v>38</v>
      </c>
      <c r="K11" s="1"/>
      <c r="L11" t="s">
        <v>38</v>
      </c>
      <c r="M11" t="s">
        <v>37</v>
      </c>
      <c r="O11" t="s">
        <v>38</v>
      </c>
      <c r="T11" t="str">
        <f>IF(RecruitmentTable[[#This Row],[Final Status]]="In process","Screening",IF(RecruitmentTable[[#This Row],[Final Status]]="Selected","Offer","Rejected"))</f>
        <v>Rejected</v>
      </c>
      <c r="U11">
        <f>IF(RecruitmentTable[[#This Row],[Final Status]]="Selected",1,0)</f>
        <v>0</v>
      </c>
    </row>
    <row r="12" spans="1:21" x14ac:dyDescent="0.25">
      <c r="A12" t="s">
        <v>69</v>
      </c>
      <c r="B12" t="s">
        <v>70</v>
      </c>
      <c r="C12" s="1">
        <v>46027</v>
      </c>
      <c r="D12" t="s">
        <v>65</v>
      </c>
      <c r="E12" t="s">
        <v>42</v>
      </c>
      <c r="F12" t="s">
        <v>35</v>
      </c>
      <c r="G12" t="s">
        <v>71</v>
      </c>
      <c r="H12" t="s">
        <v>72</v>
      </c>
      <c r="I12" t="s">
        <v>37</v>
      </c>
      <c r="J12" t="s">
        <v>38</v>
      </c>
      <c r="K12" s="1"/>
      <c r="L12" t="s">
        <v>38</v>
      </c>
      <c r="M12" t="s">
        <v>37</v>
      </c>
      <c r="O12" t="s">
        <v>38</v>
      </c>
      <c r="T12" t="str">
        <f>IF(RecruitmentTable[[#This Row],[Final Status]]="In process","Screening",IF(RecruitmentTable[[#This Row],[Final Status]]="Selected","Offer","Rejected"))</f>
        <v>Rejected</v>
      </c>
      <c r="U12">
        <f>IF(RecruitmentTable[[#This Row],[Final Status]]="Selected",1,0)</f>
        <v>0</v>
      </c>
    </row>
    <row r="13" spans="1:21" x14ac:dyDescent="0.25">
      <c r="A13" t="s">
        <v>73</v>
      </c>
      <c r="B13" t="s">
        <v>74</v>
      </c>
      <c r="C13" s="1">
        <v>46201</v>
      </c>
      <c r="D13" t="s">
        <v>41</v>
      </c>
      <c r="E13" t="s">
        <v>42</v>
      </c>
      <c r="F13" t="s">
        <v>43</v>
      </c>
      <c r="G13" t="s">
        <v>36</v>
      </c>
      <c r="H13" t="s">
        <v>44</v>
      </c>
      <c r="I13" t="s">
        <v>37</v>
      </c>
      <c r="J13" t="s">
        <v>38</v>
      </c>
      <c r="K13" s="1"/>
      <c r="L13" t="s">
        <v>38</v>
      </c>
      <c r="M13" t="s">
        <v>37</v>
      </c>
      <c r="O13" t="s">
        <v>38</v>
      </c>
      <c r="T13" t="str">
        <f>IF(RecruitmentTable[[#This Row],[Final Status]]="In process","Screening",IF(RecruitmentTable[[#This Row],[Final Status]]="Selected","Offer","Rejected"))</f>
        <v>Rejected</v>
      </c>
      <c r="U13">
        <f>IF(RecruitmentTable[[#This Row],[Final Status]]="Selected",1,0)</f>
        <v>0</v>
      </c>
    </row>
    <row r="14" spans="1:21" x14ac:dyDescent="0.25">
      <c r="A14" t="s">
        <v>75</v>
      </c>
      <c r="B14" t="s">
        <v>76</v>
      </c>
      <c r="C14" s="1">
        <v>46165</v>
      </c>
      <c r="D14" t="s">
        <v>21</v>
      </c>
      <c r="E14" t="s">
        <v>22</v>
      </c>
      <c r="F14" t="s">
        <v>57</v>
      </c>
      <c r="G14" t="s">
        <v>24</v>
      </c>
      <c r="H14" t="s">
        <v>62</v>
      </c>
      <c r="I14" t="s">
        <v>37</v>
      </c>
      <c r="J14" t="s">
        <v>38</v>
      </c>
      <c r="K14" s="1"/>
      <c r="L14" t="s">
        <v>38</v>
      </c>
      <c r="M14" t="s">
        <v>37</v>
      </c>
      <c r="O14" t="s">
        <v>38</v>
      </c>
      <c r="T14" t="str">
        <f>IF(RecruitmentTable[[#This Row],[Final Status]]="In process","Screening",IF(RecruitmentTable[[#This Row],[Final Status]]="Selected","Offer","Rejected"))</f>
        <v>Rejected</v>
      </c>
      <c r="U14">
        <f>IF(RecruitmentTable[[#This Row],[Final Status]]="Selected",1,0)</f>
        <v>0</v>
      </c>
    </row>
    <row r="15" spans="1:21" x14ac:dyDescent="0.25">
      <c r="A15" t="s">
        <v>77</v>
      </c>
      <c r="B15" t="s">
        <v>78</v>
      </c>
      <c r="C15" s="1">
        <v>46067</v>
      </c>
      <c r="D15" t="s">
        <v>56</v>
      </c>
      <c r="E15" t="s">
        <v>34</v>
      </c>
      <c r="F15" t="s">
        <v>35</v>
      </c>
      <c r="G15" t="s">
        <v>24</v>
      </c>
      <c r="H15" t="s">
        <v>44</v>
      </c>
      <c r="I15" t="s">
        <v>26</v>
      </c>
      <c r="J15" t="s">
        <v>38</v>
      </c>
      <c r="K15" s="1"/>
      <c r="L15" t="s">
        <v>58</v>
      </c>
      <c r="M15" t="s">
        <v>59</v>
      </c>
      <c r="O15" t="s">
        <v>38</v>
      </c>
      <c r="T15" t="str">
        <f>IF(RecruitmentTable[[#This Row],[Final Status]]="In process","Screening",IF(RecruitmentTable[[#This Row],[Final Status]]="Selected","Offer","Rejected"))</f>
        <v>Screening</v>
      </c>
      <c r="U15">
        <f>IF(RecruitmentTable[[#This Row],[Final Status]]="Selected",1,0)</f>
        <v>0</v>
      </c>
    </row>
    <row r="16" spans="1:21" x14ac:dyDescent="0.25">
      <c r="A16" t="s">
        <v>79</v>
      </c>
      <c r="B16" t="s">
        <v>80</v>
      </c>
      <c r="C16" s="1">
        <v>46253</v>
      </c>
      <c r="D16" t="s">
        <v>33</v>
      </c>
      <c r="E16" t="s">
        <v>34</v>
      </c>
      <c r="F16" t="s">
        <v>50</v>
      </c>
      <c r="G16" t="s">
        <v>24</v>
      </c>
      <c r="H16" t="s">
        <v>72</v>
      </c>
      <c r="I16" t="s">
        <v>37</v>
      </c>
      <c r="J16" t="s">
        <v>38</v>
      </c>
      <c r="K16" s="1"/>
      <c r="L16" t="s">
        <v>38</v>
      </c>
      <c r="M16" t="s">
        <v>37</v>
      </c>
      <c r="O16" t="s">
        <v>38</v>
      </c>
      <c r="T16" t="str">
        <f>IF(RecruitmentTable[[#This Row],[Final Status]]="In process","Screening",IF(RecruitmentTable[[#This Row],[Final Status]]="Selected","Offer","Rejected"))</f>
        <v>Rejected</v>
      </c>
      <c r="U16">
        <f>IF(RecruitmentTable[[#This Row],[Final Status]]="Selected",1,0)</f>
        <v>0</v>
      </c>
    </row>
    <row r="17" spans="1:21" x14ac:dyDescent="0.25">
      <c r="A17" t="s">
        <v>81</v>
      </c>
      <c r="B17" t="s">
        <v>82</v>
      </c>
      <c r="C17" s="1">
        <v>46220</v>
      </c>
      <c r="D17" t="s">
        <v>83</v>
      </c>
      <c r="E17" t="s">
        <v>34</v>
      </c>
      <c r="F17" t="s">
        <v>57</v>
      </c>
      <c r="G17" t="s">
        <v>84</v>
      </c>
      <c r="H17" t="s">
        <v>62</v>
      </c>
      <c r="I17" t="s">
        <v>26</v>
      </c>
      <c r="J17" t="s">
        <v>27</v>
      </c>
      <c r="K17" s="1">
        <v>46227</v>
      </c>
      <c r="L17" t="s">
        <v>28</v>
      </c>
      <c r="M17" t="s">
        <v>29</v>
      </c>
      <c r="N17" s="1">
        <v>46229</v>
      </c>
      <c r="O17" t="s">
        <v>30</v>
      </c>
      <c r="P17" s="1">
        <v>46255</v>
      </c>
      <c r="Q17">
        <v>7</v>
      </c>
      <c r="R17">
        <v>2</v>
      </c>
      <c r="S17">
        <v>26</v>
      </c>
      <c r="T17" t="str">
        <f>IF(RecruitmentTable[[#This Row],[Final Status]]="In process","Screening",IF(RecruitmentTable[[#This Row],[Final Status]]="Selected","Offer","Rejected"))</f>
        <v>Offer</v>
      </c>
      <c r="U17">
        <f>IF(RecruitmentTable[[#This Row],[Final Status]]="Selected",1,0)</f>
        <v>1</v>
      </c>
    </row>
    <row r="18" spans="1:21" x14ac:dyDescent="0.25">
      <c r="A18" t="s">
        <v>85</v>
      </c>
      <c r="B18" t="s">
        <v>86</v>
      </c>
      <c r="C18" s="1">
        <v>46135</v>
      </c>
      <c r="D18" t="s">
        <v>41</v>
      </c>
      <c r="E18" t="s">
        <v>42</v>
      </c>
      <c r="F18" t="s">
        <v>57</v>
      </c>
      <c r="G18" t="s">
        <v>66</v>
      </c>
      <c r="H18" t="s">
        <v>51</v>
      </c>
      <c r="I18" t="s">
        <v>26</v>
      </c>
      <c r="J18" t="s">
        <v>27</v>
      </c>
      <c r="K18" s="1">
        <v>46141</v>
      </c>
      <c r="L18" t="s">
        <v>28</v>
      </c>
      <c r="M18" t="s">
        <v>29</v>
      </c>
      <c r="O18" t="s">
        <v>38</v>
      </c>
      <c r="Q18">
        <v>6</v>
      </c>
      <c r="T18" t="str">
        <f>IF(RecruitmentTable[[#This Row],[Final Status]]="In process","Screening",IF(RecruitmentTable[[#This Row],[Final Status]]="Selected","Offer","Rejected"))</f>
        <v>Offer</v>
      </c>
      <c r="U18">
        <f>IF(RecruitmentTable[[#This Row],[Final Status]]="Selected",1,0)</f>
        <v>1</v>
      </c>
    </row>
    <row r="19" spans="1:21" x14ac:dyDescent="0.25">
      <c r="A19" t="s">
        <v>87</v>
      </c>
      <c r="B19" t="s">
        <v>88</v>
      </c>
      <c r="C19" s="1">
        <v>46194</v>
      </c>
      <c r="D19" t="s">
        <v>83</v>
      </c>
      <c r="E19" t="s">
        <v>34</v>
      </c>
      <c r="F19" t="s">
        <v>35</v>
      </c>
      <c r="G19" t="s">
        <v>36</v>
      </c>
      <c r="H19" t="s">
        <v>62</v>
      </c>
      <c r="I19" t="s">
        <v>26</v>
      </c>
      <c r="J19" t="s">
        <v>27</v>
      </c>
      <c r="K19" s="1">
        <v>46202</v>
      </c>
      <c r="L19" t="s">
        <v>28</v>
      </c>
      <c r="M19" t="s">
        <v>37</v>
      </c>
      <c r="O19" t="s">
        <v>38</v>
      </c>
      <c r="Q19">
        <v>8</v>
      </c>
      <c r="T19" t="str">
        <f>IF(RecruitmentTable[[#This Row],[Final Status]]="In process","Screening",IF(RecruitmentTable[[#This Row],[Final Status]]="Selected","Offer","Rejected"))</f>
        <v>Rejected</v>
      </c>
      <c r="U19">
        <f>IF(RecruitmentTable[[#This Row],[Final Status]]="Selected",1,0)</f>
        <v>0</v>
      </c>
    </row>
    <row r="20" spans="1:21" x14ac:dyDescent="0.25">
      <c r="A20" t="s">
        <v>89</v>
      </c>
      <c r="B20" t="s">
        <v>90</v>
      </c>
      <c r="C20" s="1">
        <v>46220</v>
      </c>
      <c r="D20" t="s">
        <v>83</v>
      </c>
      <c r="E20" t="s">
        <v>34</v>
      </c>
      <c r="F20" t="s">
        <v>23</v>
      </c>
      <c r="G20" t="s">
        <v>47</v>
      </c>
      <c r="H20" t="s">
        <v>72</v>
      </c>
      <c r="I20" t="s">
        <v>26</v>
      </c>
      <c r="J20" t="s">
        <v>27</v>
      </c>
      <c r="K20" s="1">
        <v>46226</v>
      </c>
      <c r="L20" t="s">
        <v>28</v>
      </c>
      <c r="M20" t="s">
        <v>29</v>
      </c>
      <c r="N20" s="1">
        <v>46229</v>
      </c>
      <c r="O20" t="s">
        <v>30</v>
      </c>
      <c r="P20" s="1">
        <v>46241</v>
      </c>
      <c r="Q20">
        <v>6</v>
      </c>
      <c r="R20">
        <v>3</v>
      </c>
      <c r="S20">
        <v>12</v>
      </c>
      <c r="T20" t="str">
        <f>IF(RecruitmentTable[[#This Row],[Final Status]]="In process","Screening",IF(RecruitmentTable[[#This Row],[Final Status]]="Selected","Offer","Rejected"))</f>
        <v>Offer</v>
      </c>
      <c r="U20">
        <f>IF(RecruitmentTable[[#This Row],[Final Status]]="Selected",1,0)</f>
        <v>1</v>
      </c>
    </row>
    <row r="21" spans="1:21" x14ac:dyDescent="0.25">
      <c r="A21" t="s">
        <v>91</v>
      </c>
      <c r="B21" t="s">
        <v>92</v>
      </c>
      <c r="C21" s="1">
        <v>46221</v>
      </c>
      <c r="D21" t="s">
        <v>41</v>
      </c>
      <c r="E21" t="s">
        <v>42</v>
      </c>
      <c r="F21" t="s">
        <v>43</v>
      </c>
      <c r="G21" t="s">
        <v>71</v>
      </c>
      <c r="H21" t="s">
        <v>51</v>
      </c>
      <c r="I21" t="s">
        <v>37</v>
      </c>
      <c r="J21" t="s">
        <v>38</v>
      </c>
      <c r="K21" s="1"/>
      <c r="L21" t="s">
        <v>38</v>
      </c>
      <c r="M21" t="s">
        <v>37</v>
      </c>
      <c r="O21" t="s">
        <v>38</v>
      </c>
      <c r="T21" t="str">
        <f>IF(RecruitmentTable[[#This Row],[Final Status]]="In process","Screening",IF(RecruitmentTable[[#This Row],[Final Status]]="Selected","Offer","Rejected"))</f>
        <v>Rejected</v>
      </c>
      <c r="U21">
        <f>IF(RecruitmentTable[[#This Row],[Final Status]]="Selected",1,0)</f>
        <v>0</v>
      </c>
    </row>
    <row r="22" spans="1:21" x14ac:dyDescent="0.25">
      <c r="A22" t="s">
        <v>93</v>
      </c>
      <c r="B22" t="s">
        <v>82</v>
      </c>
      <c r="C22" s="1">
        <v>46173</v>
      </c>
      <c r="D22" t="s">
        <v>65</v>
      </c>
      <c r="E22" t="s">
        <v>42</v>
      </c>
      <c r="F22" t="s">
        <v>57</v>
      </c>
      <c r="G22" t="s">
        <v>71</v>
      </c>
      <c r="H22" t="s">
        <v>51</v>
      </c>
      <c r="I22" t="s">
        <v>37</v>
      </c>
      <c r="J22" t="s">
        <v>38</v>
      </c>
      <c r="K22" s="1"/>
      <c r="L22" t="s">
        <v>38</v>
      </c>
      <c r="M22" t="s">
        <v>37</v>
      </c>
      <c r="O22" t="s">
        <v>38</v>
      </c>
      <c r="T22" t="str">
        <f>IF(RecruitmentTable[[#This Row],[Final Status]]="In process","Screening",IF(RecruitmentTable[[#This Row],[Final Status]]="Selected","Offer","Rejected"))</f>
        <v>Rejected</v>
      </c>
      <c r="U22">
        <f>IF(RecruitmentTable[[#This Row],[Final Status]]="Selected",1,0)</f>
        <v>0</v>
      </c>
    </row>
    <row r="23" spans="1:21" x14ac:dyDescent="0.25">
      <c r="A23" t="s">
        <v>94</v>
      </c>
      <c r="B23" t="s">
        <v>95</v>
      </c>
      <c r="C23" s="1">
        <v>46024</v>
      </c>
      <c r="D23" t="s">
        <v>33</v>
      </c>
      <c r="E23" t="s">
        <v>34</v>
      </c>
      <c r="F23" t="s">
        <v>35</v>
      </c>
      <c r="G23" t="s">
        <v>66</v>
      </c>
      <c r="H23" t="s">
        <v>62</v>
      </c>
      <c r="I23" t="s">
        <v>26</v>
      </c>
      <c r="J23" t="s">
        <v>27</v>
      </c>
      <c r="K23" s="1">
        <v>46030</v>
      </c>
      <c r="L23" t="s">
        <v>28</v>
      </c>
      <c r="M23" t="s">
        <v>37</v>
      </c>
      <c r="O23" t="s">
        <v>38</v>
      </c>
      <c r="Q23">
        <v>6</v>
      </c>
      <c r="T23" t="str">
        <f>IF(RecruitmentTable[[#This Row],[Final Status]]="In process","Screening",IF(RecruitmentTable[[#This Row],[Final Status]]="Selected","Offer","Rejected"))</f>
        <v>Rejected</v>
      </c>
      <c r="U23">
        <f>IF(RecruitmentTable[[#This Row],[Final Status]]="Selected",1,0)</f>
        <v>0</v>
      </c>
    </row>
    <row r="24" spans="1:21" x14ac:dyDescent="0.25">
      <c r="A24" t="s">
        <v>96</v>
      </c>
      <c r="B24" t="s">
        <v>97</v>
      </c>
      <c r="C24" s="1">
        <v>46076</v>
      </c>
      <c r="D24" t="s">
        <v>21</v>
      </c>
      <c r="E24" t="s">
        <v>22</v>
      </c>
      <c r="F24" t="s">
        <v>57</v>
      </c>
      <c r="G24" t="s">
        <v>36</v>
      </c>
      <c r="H24" t="s">
        <v>44</v>
      </c>
      <c r="I24" t="s">
        <v>37</v>
      </c>
      <c r="J24" t="s">
        <v>38</v>
      </c>
      <c r="K24" s="1"/>
      <c r="L24" t="s">
        <v>38</v>
      </c>
      <c r="M24" t="s">
        <v>37</v>
      </c>
      <c r="O24" t="s">
        <v>38</v>
      </c>
      <c r="T24" t="str">
        <f>IF(RecruitmentTable[[#This Row],[Final Status]]="In process","Screening",IF(RecruitmentTable[[#This Row],[Final Status]]="Selected","Offer","Rejected"))</f>
        <v>Rejected</v>
      </c>
      <c r="U24">
        <f>IF(RecruitmentTable[[#This Row],[Final Status]]="Selected",1,0)</f>
        <v>0</v>
      </c>
    </row>
    <row r="25" spans="1:21" x14ac:dyDescent="0.25">
      <c r="A25" t="s">
        <v>98</v>
      </c>
      <c r="B25" t="s">
        <v>99</v>
      </c>
      <c r="C25" s="1">
        <v>46249</v>
      </c>
      <c r="D25" t="s">
        <v>56</v>
      </c>
      <c r="E25" t="s">
        <v>34</v>
      </c>
      <c r="F25" t="s">
        <v>100</v>
      </c>
      <c r="G25" t="s">
        <v>66</v>
      </c>
      <c r="H25" t="s">
        <v>51</v>
      </c>
      <c r="I25" t="s">
        <v>26</v>
      </c>
      <c r="J25" t="s">
        <v>27</v>
      </c>
      <c r="K25" s="1">
        <v>46265</v>
      </c>
      <c r="L25" t="s">
        <v>28</v>
      </c>
      <c r="M25" t="s">
        <v>37</v>
      </c>
      <c r="O25" t="s">
        <v>38</v>
      </c>
      <c r="Q25">
        <v>16</v>
      </c>
      <c r="T25" t="str">
        <f>IF(RecruitmentTable[[#This Row],[Final Status]]="In process","Screening",IF(RecruitmentTable[[#This Row],[Final Status]]="Selected","Offer","Rejected"))</f>
        <v>Rejected</v>
      </c>
      <c r="U25">
        <f>IF(RecruitmentTable[[#This Row],[Final Status]]="Selected",1,0)</f>
        <v>0</v>
      </c>
    </row>
    <row r="26" spans="1:21" x14ac:dyDescent="0.25">
      <c r="A26" t="s">
        <v>101</v>
      </c>
      <c r="B26" t="s">
        <v>55</v>
      </c>
      <c r="C26" s="1">
        <v>46183</v>
      </c>
      <c r="D26" t="s">
        <v>41</v>
      </c>
      <c r="E26" t="s">
        <v>42</v>
      </c>
      <c r="F26" t="s">
        <v>57</v>
      </c>
      <c r="G26" t="s">
        <v>36</v>
      </c>
      <c r="H26" t="s">
        <v>62</v>
      </c>
      <c r="I26" t="s">
        <v>37</v>
      </c>
      <c r="J26" t="s">
        <v>38</v>
      </c>
      <c r="K26" s="1"/>
      <c r="L26" t="s">
        <v>38</v>
      </c>
      <c r="M26" t="s">
        <v>37</v>
      </c>
      <c r="O26" t="s">
        <v>38</v>
      </c>
      <c r="T26" t="str">
        <f>IF(RecruitmentTable[[#This Row],[Final Status]]="In process","Screening",IF(RecruitmentTable[[#This Row],[Final Status]]="Selected","Offer","Rejected"))</f>
        <v>Rejected</v>
      </c>
      <c r="U26">
        <f>IF(RecruitmentTable[[#This Row],[Final Status]]="Selected",1,0)</f>
        <v>0</v>
      </c>
    </row>
    <row r="27" spans="1:21" x14ac:dyDescent="0.25">
      <c r="A27" t="s">
        <v>102</v>
      </c>
      <c r="B27" t="s">
        <v>103</v>
      </c>
      <c r="C27" s="1">
        <v>46044</v>
      </c>
      <c r="D27" t="s">
        <v>56</v>
      </c>
      <c r="E27" t="s">
        <v>34</v>
      </c>
      <c r="F27" t="s">
        <v>43</v>
      </c>
      <c r="G27" t="s">
        <v>66</v>
      </c>
      <c r="H27" t="s">
        <v>62</v>
      </c>
      <c r="I27" t="s">
        <v>26</v>
      </c>
      <c r="J27" t="s">
        <v>27</v>
      </c>
      <c r="K27" s="1">
        <v>46048</v>
      </c>
      <c r="L27" t="s">
        <v>28</v>
      </c>
      <c r="M27" t="s">
        <v>37</v>
      </c>
      <c r="O27" t="s">
        <v>38</v>
      </c>
      <c r="Q27">
        <v>4</v>
      </c>
      <c r="T27" t="str">
        <f>IF(RecruitmentTable[[#This Row],[Final Status]]="In process","Screening",IF(RecruitmentTable[[#This Row],[Final Status]]="Selected","Offer","Rejected"))</f>
        <v>Rejected</v>
      </c>
      <c r="U27">
        <f>IF(RecruitmentTable[[#This Row],[Final Status]]="Selected",1,0)</f>
        <v>0</v>
      </c>
    </row>
    <row r="28" spans="1:21" x14ac:dyDescent="0.25">
      <c r="A28" t="s">
        <v>104</v>
      </c>
      <c r="B28" t="s">
        <v>105</v>
      </c>
      <c r="C28" s="1">
        <v>46169</v>
      </c>
      <c r="D28" t="s">
        <v>65</v>
      </c>
      <c r="E28" t="s">
        <v>42</v>
      </c>
      <c r="F28" t="s">
        <v>57</v>
      </c>
      <c r="G28" t="s">
        <v>71</v>
      </c>
      <c r="H28" t="s">
        <v>44</v>
      </c>
      <c r="I28" t="s">
        <v>37</v>
      </c>
      <c r="J28" t="s">
        <v>38</v>
      </c>
      <c r="K28" s="1"/>
      <c r="L28" t="s">
        <v>38</v>
      </c>
      <c r="M28" t="s">
        <v>37</v>
      </c>
      <c r="O28" t="s">
        <v>38</v>
      </c>
      <c r="T28" t="str">
        <f>IF(RecruitmentTable[[#This Row],[Final Status]]="In process","Screening",IF(RecruitmentTable[[#This Row],[Final Status]]="Selected","Offer","Rejected"))</f>
        <v>Rejected</v>
      </c>
      <c r="U28">
        <f>IF(RecruitmentTable[[#This Row],[Final Status]]="Selected",1,0)</f>
        <v>0</v>
      </c>
    </row>
    <row r="29" spans="1:21" x14ac:dyDescent="0.25">
      <c r="A29" t="s">
        <v>106</v>
      </c>
      <c r="B29" t="s">
        <v>107</v>
      </c>
      <c r="C29" s="1">
        <v>46028</v>
      </c>
      <c r="D29" t="s">
        <v>56</v>
      </c>
      <c r="E29" t="s">
        <v>34</v>
      </c>
      <c r="F29" t="s">
        <v>100</v>
      </c>
      <c r="G29" t="s">
        <v>24</v>
      </c>
      <c r="H29" t="s">
        <v>72</v>
      </c>
      <c r="I29" t="s">
        <v>37</v>
      </c>
      <c r="J29" t="s">
        <v>38</v>
      </c>
      <c r="K29" s="1"/>
      <c r="L29" t="s">
        <v>38</v>
      </c>
      <c r="M29" t="s">
        <v>37</v>
      </c>
      <c r="O29" t="s">
        <v>38</v>
      </c>
      <c r="T29" t="str">
        <f>IF(RecruitmentTable[[#This Row],[Final Status]]="In process","Screening",IF(RecruitmentTable[[#This Row],[Final Status]]="Selected","Offer","Rejected"))</f>
        <v>Rejected</v>
      </c>
      <c r="U29">
        <f>IF(RecruitmentTable[[#This Row],[Final Status]]="Selected",1,0)</f>
        <v>0</v>
      </c>
    </row>
    <row r="30" spans="1:21" x14ac:dyDescent="0.25">
      <c r="A30" t="s">
        <v>108</v>
      </c>
      <c r="B30" t="s">
        <v>109</v>
      </c>
      <c r="C30" s="1">
        <v>46138</v>
      </c>
      <c r="D30" t="s">
        <v>56</v>
      </c>
      <c r="E30" t="s">
        <v>34</v>
      </c>
      <c r="F30" t="s">
        <v>23</v>
      </c>
      <c r="G30" t="s">
        <v>84</v>
      </c>
      <c r="H30" t="s">
        <v>62</v>
      </c>
      <c r="I30" t="s">
        <v>26</v>
      </c>
      <c r="J30" t="s">
        <v>27</v>
      </c>
      <c r="K30" s="1">
        <v>46151</v>
      </c>
      <c r="L30" t="s">
        <v>28</v>
      </c>
      <c r="M30" t="s">
        <v>37</v>
      </c>
      <c r="O30" t="s">
        <v>38</v>
      </c>
      <c r="Q30">
        <v>13</v>
      </c>
      <c r="T30" t="str">
        <f>IF(RecruitmentTable[[#This Row],[Final Status]]="In process","Screening",IF(RecruitmentTable[[#This Row],[Final Status]]="Selected","Offer","Rejected"))</f>
        <v>Rejected</v>
      </c>
      <c r="U30">
        <f>IF(RecruitmentTable[[#This Row],[Final Status]]="Selected",1,0)</f>
        <v>0</v>
      </c>
    </row>
    <row r="31" spans="1:21" x14ac:dyDescent="0.25">
      <c r="A31" t="s">
        <v>110</v>
      </c>
      <c r="B31" t="s">
        <v>111</v>
      </c>
      <c r="C31" s="1">
        <v>46196</v>
      </c>
      <c r="D31" t="s">
        <v>41</v>
      </c>
      <c r="E31" t="s">
        <v>42</v>
      </c>
      <c r="F31" t="s">
        <v>100</v>
      </c>
      <c r="G31" t="s">
        <v>36</v>
      </c>
      <c r="H31" t="s">
        <v>51</v>
      </c>
      <c r="I31" t="s">
        <v>26</v>
      </c>
      <c r="J31" t="s">
        <v>27</v>
      </c>
      <c r="K31" s="1">
        <v>46207</v>
      </c>
      <c r="L31" t="s">
        <v>28</v>
      </c>
      <c r="M31" t="s">
        <v>37</v>
      </c>
      <c r="O31" t="s">
        <v>38</v>
      </c>
      <c r="Q31">
        <v>11</v>
      </c>
      <c r="T31" t="str">
        <f>IF(RecruitmentTable[[#This Row],[Final Status]]="In process","Screening",IF(RecruitmentTable[[#This Row],[Final Status]]="Selected","Offer","Rejected"))</f>
        <v>Rejected</v>
      </c>
      <c r="U31">
        <f>IF(RecruitmentTable[[#This Row],[Final Status]]="Selected",1,0)</f>
        <v>0</v>
      </c>
    </row>
    <row r="32" spans="1:21" x14ac:dyDescent="0.25">
      <c r="A32" t="s">
        <v>112</v>
      </c>
      <c r="B32" t="s">
        <v>113</v>
      </c>
      <c r="C32" s="1">
        <v>46268</v>
      </c>
      <c r="D32" t="s">
        <v>56</v>
      </c>
      <c r="E32" t="s">
        <v>34</v>
      </c>
      <c r="F32" t="s">
        <v>23</v>
      </c>
      <c r="G32" t="s">
        <v>84</v>
      </c>
      <c r="H32" t="s">
        <v>62</v>
      </c>
      <c r="I32" t="s">
        <v>26</v>
      </c>
      <c r="J32" t="s">
        <v>27</v>
      </c>
      <c r="K32" s="1">
        <v>46275</v>
      </c>
      <c r="L32" t="s">
        <v>28</v>
      </c>
      <c r="M32" t="s">
        <v>29</v>
      </c>
      <c r="N32" s="1">
        <v>46277</v>
      </c>
      <c r="O32" t="s">
        <v>30</v>
      </c>
      <c r="P32" s="1">
        <v>46294</v>
      </c>
      <c r="Q32">
        <v>7</v>
      </c>
      <c r="R32">
        <v>2</v>
      </c>
      <c r="S32">
        <v>17</v>
      </c>
      <c r="T32" t="str">
        <f>IF(RecruitmentTable[[#This Row],[Final Status]]="In process","Screening",IF(RecruitmentTable[[#This Row],[Final Status]]="Selected","Offer","Rejected"))</f>
        <v>Offer</v>
      </c>
      <c r="U32">
        <f>IF(RecruitmentTable[[#This Row],[Final Status]]="Selected",1,0)</f>
        <v>1</v>
      </c>
    </row>
    <row r="33" spans="1:21" x14ac:dyDescent="0.25">
      <c r="A33" t="s">
        <v>114</v>
      </c>
      <c r="B33" t="s">
        <v>115</v>
      </c>
      <c r="C33" s="1">
        <v>46165</v>
      </c>
      <c r="D33" t="s">
        <v>56</v>
      </c>
      <c r="E33" t="s">
        <v>34</v>
      </c>
      <c r="F33" t="s">
        <v>35</v>
      </c>
      <c r="G33" t="s">
        <v>24</v>
      </c>
      <c r="H33" t="s">
        <v>62</v>
      </c>
      <c r="I33" t="s">
        <v>26</v>
      </c>
      <c r="J33" t="s">
        <v>27</v>
      </c>
      <c r="K33" s="1">
        <v>46172</v>
      </c>
      <c r="L33" t="s">
        <v>28</v>
      </c>
      <c r="M33" t="s">
        <v>29</v>
      </c>
      <c r="N33" s="1">
        <v>46175</v>
      </c>
      <c r="O33" t="s">
        <v>30</v>
      </c>
      <c r="P33" s="1">
        <v>46190</v>
      </c>
      <c r="Q33">
        <v>7</v>
      </c>
      <c r="R33">
        <v>3</v>
      </c>
      <c r="S33">
        <v>15</v>
      </c>
      <c r="T33" t="str">
        <f>IF(RecruitmentTable[[#This Row],[Final Status]]="In process","Screening",IF(RecruitmentTable[[#This Row],[Final Status]]="Selected","Offer","Rejected"))</f>
        <v>Offer</v>
      </c>
      <c r="U33">
        <f>IF(RecruitmentTable[[#This Row],[Final Status]]="Selected",1,0)</f>
        <v>1</v>
      </c>
    </row>
    <row r="34" spans="1:21" x14ac:dyDescent="0.25">
      <c r="A34" t="s">
        <v>116</v>
      </c>
      <c r="B34" t="s">
        <v>97</v>
      </c>
      <c r="C34" s="1">
        <v>46123</v>
      </c>
      <c r="D34" t="s">
        <v>83</v>
      </c>
      <c r="E34" t="s">
        <v>34</v>
      </c>
      <c r="F34" t="s">
        <v>57</v>
      </c>
      <c r="G34" t="s">
        <v>71</v>
      </c>
      <c r="H34" t="s">
        <v>25</v>
      </c>
      <c r="I34" t="s">
        <v>26</v>
      </c>
      <c r="J34" t="s">
        <v>38</v>
      </c>
      <c r="K34" s="1"/>
      <c r="L34" t="s">
        <v>58</v>
      </c>
      <c r="M34" t="s">
        <v>59</v>
      </c>
      <c r="O34" t="s">
        <v>38</v>
      </c>
      <c r="T34" t="str">
        <f>IF(RecruitmentTable[[#This Row],[Final Status]]="In process","Screening",IF(RecruitmentTable[[#This Row],[Final Status]]="Selected","Offer","Rejected"))</f>
        <v>Screening</v>
      </c>
      <c r="U34">
        <f>IF(RecruitmentTable[[#This Row],[Final Status]]="Selected",1,0)</f>
        <v>0</v>
      </c>
    </row>
    <row r="35" spans="1:21" x14ac:dyDescent="0.25">
      <c r="A35" t="s">
        <v>117</v>
      </c>
      <c r="B35" t="s">
        <v>61</v>
      </c>
      <c r="C35" s="1">
        <v>46069</v>
      </c>
      <c r="D35" t="s">
        <v>65</v>
      </c>
      <c r="E35" t="s">
        <v>42</v>
      </c>
      <c r="F35" t="s">
        <v>57</v>
      </c>
      <c r="G35" t="s">
        <v>24</v>
      </c>
      <c r="H35" t="s">
        <v>51</v>
      </c>
      <c r="I35" t="s">
        <v>26</v>
      </c>
      <c r="J35" t="s">
        <v>27</v>
      </c>
      <c r="K35" s="1">
        <v>46075</v>
      </c>
      <c r="L35" t="s">
        <v>28</v>
      </c>
      <c r="M35" t="s">
        <v>37</v>
      </c>
      <c r="O35" t="s">
        <v>38</v>
      </c>
      <c r="Q35">
        <v>6</v>
      </c>
      <c r="T35" t="str">
        <f>IF(RecruitmentTable[[#This Row],[Final Status]]="In process","Screening",IF(RecruitmentTable[[#This Row],[Final Status]]="Selected","Offer","Rejected"))</f>
        <v>Rejected</v>
      </c>
      <c r="U35">
        <f>IF(RecruitmentTable[[#This Row],[Final Status]]="Selected",1,0)</f>
        <v>0</v>
      </c>
    </row>
    <row r="36" spans="1:21" x14ac:dyDescent="0.25">
      <c r="A36" t="s">
        <v>118</v>
      </c>
      <c r="B36" t="s">
        <v>119</v>
      </c>
      <c r="C36" s="1">
        <v>46139</v>
      </c>
      <c r="D36" t="s">
        <v>41</v>
      </c>
      <c r="E36" t="s">
        <v>42</v>
      </c>
      <c r="F36" t="s">
        <v>50</v>
      </c>
      <c r="G36" t="s">
        <v>84</v>
      </c>
      <c r="H36" t="s">
        <v>72</v>
      </c>
      <c r="I36" t="s">
        <v>26</v>
      </c>
      <c r="J36" t="s">
        <v>27</v>
      </c>
      <c r="K36" s="1">
        <v>46150</v>
      </c>
      <c r="L36" t="s">
        <v>28</v>
      </c>
      <c r="M36" t="s">
        <v>29</v>
      </c>
      <c r="N36" s="1">
        <v>46156</v>
      </c>
      <c r="O36" t="s">
        <v>30</v>
      </c>
      <c r="P36" s="1">
        <v>46186</v>
      </c>
      <c r="Q36">
        <v>11</v>
      </c>
      <c r="R36">
        <v>6</v>
      </c>
      <c r="S36">
        <v>30</v>
      </c>
      <c r="T36" t="str">
        <f>IF(RecruitmentTable[[#This Row],[Final Status]]="In process","Screening",IF(RecruitmentTable[[#This Row],[Final Status]]="Selected","Offer","Rejected"))</f>
        <v>Offer</v>
      </c>
      <c r="U36">
        <f>IF(RecruitmentTable[[#This Row],[Final Status]]="Selected",1,0)</f>
        <v>1</v>
      </c>
    </row>
    <row r="37" spans="1:21" x14ac:dyDescent="0.25">
      <c r="A37" t="s">
        <v>120</v>
      </c>
      <c r="B37" t="s">
        <v>121</v>
      </c>
      <c r="C37" s="1">
        <v>46214</v>
      </c>
      <c r="D37" t="s">
        <v>65</v>
      </c>
      <c r="E37" t="s">
        <v>42</v>
      </c>
      <c r="F37" t="s">
        <v>43</v>
      </c>
      <c r="G37" t="s">
        <v>36</v>
      </c>
      <c r="H37" t="s">
        <v>44</v>
      </c>
      <c r="I37" t="s">
        <v>26</v>
      </c>
      <c r="J37" t="s">
        <v>27</v>
      </c>
      <c r="K37" s="1">
        <v>46218</v>
      </c>
      <c r="L37" t="s">
        <v>28</v>
      </c>
      <c r="M37" t="s">
        <v>29</v>
      </c>
      <c r="N37" s="1">
        <v>46225</v>
      </c>
      <c r="O37" t="s">
        <v>30</v>
      </c>
      <c r="P37" s="1">
        <v>46248</v>
      </c>
      <c r="Q37">
        <v>4</v>
      </c>
      <c r="R37">
        <v>7</v>
      </c>
      <c r="S37">
        <v>23</v>
      </c>
      <c r="T37" t="str">
        <f>IF(RecruitmentTable[[#This Row],[Final Status]]="In process","Screening",IF(RecruitmentTable[[#This Row],[Final Status]]="Selected","Offer","Rejected"))</f>
        <v>Offer</v>
      </c>
      <c r="U37">
        <f>IF(RecruitmentTable[[#This Row],[Final Status]]="Selected",1,0)</f>
        <v>1</v>
      </c>
    </row>
    <row r="38" spans="1:21" x14ac:dyDescent="0.25">
      <c r="A38" t="s">
        <v>122</v>
      </c>
      <c r="B38" t="s">
        <v>123</v>
      </c>
      <c r="C38" s="1">
        <v>46226</v>
      </c>
      <c r="D38" t="s">
        <v>41</v>
      </c>
      <c r="E38" t="s">
        <v>42</v>
      </c>
      <c r="F38" t="s">
        <v>23</v>
      </c>
      <c r="G38" t="s">
        <v>71</v>
      </c>
      <c r="H38" t="s">
        <v>44</v>
      </c>
      <c r="I38" t="s">
        <v>26</v>
      </c>
      <c r="J38" t="s">
        <v>27</v>
      </c>
      <c r="K38" s="1">
        <v>46239</v>
      </c>
      <c r="L38" t="s">
        <v>28</v>
      </c>
      <c r="M38" t="s">
        <v>37</v>
      </c>
      <c r="O38" t="s">
        <v>38</v>
      </c>
      <c r="Q38">
        <v>13</v>
      </c>
      <c r="T38" t="str">
        <f>IF(RecruitmentTable[[#This Row],[Final Status]]="In process","Screening",IF(RecruitmentTable[[#This Row],[Final Status]]="Selected","Offer","Rejected"))</f>
        <v>Rejected</v>
      </c>
      <c r="U38">
        <f>IF(RecruitmentTable[[#This Row],[Final Status]]="Selected",1,0)</f>
        <v>0</v>
      </c>
    </row>
    <row r="39" spans="1:21" x14ac:dyDescent="0.25">
      <c r="A39" t="s">
        <v>124</v>
      </c>
      <c r="B39" t="s">
        <v>125</v>
      </c>
      <c r="C39" s="1">
        <v>46202</v>
      </c>
      <c r="D39" t="s">
        <v>56</v>
      </c>
      <c r="E39" t="s">
        <v>34</v>
      </c>
      <c r="F39" t="s">
        <v>35</v>
      </c>
      <c r="G39" t="s">
        <v>36</v>
      </c>
      <c r="H39" t="s">
        <v>72</v>
      </c>
      <c r="I39" t="s">
        <v>26</v>
      </c>
      <c r="J39" t="s">
        <v>38</v>
      </c>
      <c r="K39" s="1"/>
      <c r="L39" t="s">
        <v>58</v>
      </c>
      <c r="M39" t="s">
        <v>59</v>
      </c>
      <c r="O39" t="s">
        <v>38</v>
      </c>
      <c r="T39" t="str">
        <f>IF(RecruitmentTable[[#This Row],[Final Status]]="In process","Screening",IF(RecruitmentTable[[#This Row],[Final Status]]="Selected","Offer","Rejected"))</f>
        <v>Screening</v>
      </c>
      <c r="U39">
        <f>IF(RecruitmentTable[[#This Row],[Final Status]]="Selected",1,0)</f>
        <v>0</v>
      </c>
    </row>
    <row r="40" spans="1:21" x14ac:dyDescent="0.25">
      <c r="A40" t="s">
        <v>126</v>
      </c>
      <c r="B40" t="s">
        <v>127</v>
      </c>
      <c r="C40" s="1">
        <v>46269</v>
      </c>
      <c r="D40" t="s">
        <v>33</v>
      </c>
      <c r="E40" t="s">
        <v>34</v>
      </c>
      <c r="F40" t="s">
        <v>50</v>
      </c>
      <c r="G40" t="s">
        <v>47</v>
      </c>
      <c r="H40" t="s">
        <v>44</v>
      </c>
      <c r="I40" t="s">
        <v>37</v>
      </c>
      <c r="J40" t="s">
        <v>38</v>
      </c>
      <c r="K40" s="1"/>
      <c r="L40" t="s">
        <v>38</v>
      </c>
      <c r="M40" t="s">
        <v>37</v>
      </c>
      <c r="O40" t="s">
        <v>38</v>
      </c>
      <c r="T40" t="str">
        <f>IF(RecruitmentTable[[#This Row],[Final Status]]="In process","Screening",IF(RecruitmentTable[[#This Row],[Final Status]]="Selected","Offer","Rejected"))</f>
        <v>Rejected</v>
      </c>
      <c r="U40">
        <f>IF(RecruitmentTable[[#This Row],[Final Status]]="Selected",1,0)</f>
        <v>0</v>
      </c>
    </row>
    <row r="41" spans="1:21" x14ac:dyDescent="0.25">
      <c r="A41" t="s">
        <v>128</v>
      </c>
      <c r="B41" t="s">
        <v>129</v>
      </c>
      <c r="C41" s="1">
        <v>46055</v>
      </c>
      <c r="D41" t="s">
        <v>83</v>
      </c>
      <c r="E41" t="s">
        <v>34</v>
      </c>
      <c r="F41" t="s">
        <v>100</v>
      </c>
      <c r="G41" t="s">
        <v>36</v>
      </c>
      <c r="H41" t="s">
        <v>62</v>
      </c>
      <c r="I41" t="s">
        <v>37</v>
      </c>
      <c r="J41" t="s">
        <v>38</v>
      </c>
      <c r="K41" s="1"/>
      <c r="L41" t="s">
        <v>38</v>
      </c>
      <c r="M41" t="s">
        <v>37</v>
      </c>
      <c r="O41" t="s">
        <v>38</v>
      </c>
      <c r="T41" t="str">
        <f>IF(RecruitmentTable[[#This Row],[Final Status]]="In process","Screening",IF(RecruitmentTable[[#This Row],[Final Status]]="Selected","Offer","Rejected"))</f>
        <v>Rejected</v>
      </c>
      <c r="U41">
        <f>IF(RecruitmentTable[[#This Row],[Final Status]]="Selected",1,0)</f>
        <v>0</v>
      </c>
    </row>
    <row r="42" spans="1:21" x14ac:dyDescent="0.25">
      <c r="A42" t="s">
        <v>130</v>
      </c>
      <c r="B42" t="s">
        <v>131</v>
      </c>
      <c r="C42" s="1">
        <v>46065</v>
      </c>
      <c r="D42" t="s">
        <v>41</v>
      </c>
      <c r="E42" t="s">
        <v>42</v>
      </c>
      <c r="F42" t="s">
        <v>57</v>
      </c>
      <c r="G42" t="s">
        <v>24</v>
      </c>
      <c r="H42" t="s">
        <v>51</v>
      </c>
      <c r="I42" t="s">
        <v>26</v>
      </c>
      <c r="J42" t="s">
        <v>27</v>
      </c>
      <c r="K42" s="1">
        <v>46078</v>
      </c>
      <c r="L42" t="s">
        <v>28</v>
      </c>
      <c r="M42" t="s">
        <v>37</v>
      </c>
      <c r="O42" t="s">
        <v>38</v>
      </c>
      <c r="Q42">
        <v>13</v>
      </c>
      <c r="T42" t="str">
        <f>IF(RecruitmentTable[[#This Row],[Final Status]]="In process","Screening",IF(RecruitmentTable[[#This Row],[Final Status]]="Selected","Offer","Rejected"))</f>
        <v>Rejected</v>
      </c>
      <c r="U42">
        <f>IF(RecruitmentTable[[#This Row],[Final Status]]="Selected",1,0)</f>
        <v>0</v>
      </c>
    </row>
    <row r="43" spans="1:21" x14ac:dyDescent="0.25">
      <c r="A43" t="s">
        <v>132</v>
      </c>
      <c r="B43" t="s">
        <v>133</v>
      </c>
      <c r="C43" s="1">
        <v>46112</v>
      </c>
      <c r="D43" t="s">
        <v>56</v>
      </c>
      <c r="E43" t="s">
        <v>34</v>
      </c>
      <c r="F43" t="s">
        <v>35</v>
      </c>
      <c r="G43" t="s">
        <v>24</v>
      </c>
      <c r="H43" t="s">
        <v>51</v>
      </c>
      <c r="I43" t="s">
        <v>37</v>
      </c>
      <c r="J43" t="s">
        <v>38</v>
      </c>
      <c r="K43" s="1"/>
      <c r="L43" t="s">
        <v>38</v>
      </c>
      <c r="M43" t="s">
        <v>37</v>
      </c>
      <c r="O43" t="s">
        <v>38</v>
      </c>
      <c r="T43" t="str">
        <f>IF(RecruitmentTable[[#This Row],[Final Status]]="In process","Screening",IF(RecruitmentTable[[#This Row],[Final Status]]="Selected","Offer","Rejected"))</f>
        <v>Rejected</v>
      </c>
      <c r="U43">
        <f>IF(RecruitmentTable[[#This Row],[Final Status]]="Selected",1,0)</f>
        <v>0</v>
      </c>
    </row>
    <row r="44" spans="1:21" x14ac:dyDescent="0.25">
      <c r="A44" t="s">
        <v>134</v>
      </c>
      <c r="B44" t="s">
        <v>68</v>
      </c>
      <c r="C44" s="1">
        <v>46239</v>
      </c>
      <c r="D44" t="s">
        <v>21</v>
      </c>
      <c r="E44" t="s">
        <v>22</v>
      </c>
      <c r="F44" t="s">
        <v>57</v>
      </c>
      <c r="G44" t="s">
        <v>84</v>
      </c>
      <c r="H44" t="s">
        <v>72</v>
      </c>
      <c r="I44" t="s">
        <v>37</v>
      </c>
      <c r="J44" t="s">
        <v>38</v>
      </c>
      <c r="K44" s="1"/>
      <c r="L44" t="s">
        <v>38</v>
      </c>
      <c r="M44" t="s">
        <v>37</v>
      </c>
      <c r="O44" t="s">
        <v>38</v>
      </c>
      <c r="T44" t="str">
        <f>IF(RecruitmentTable[[#This Row],[Final Status]]="In process","Screening",IF(RecruitmentTable[[#This Row],[Final Status]]="Selected","Offer","Rejected"))</f>
        <v>Rejected</v>
      </c>
      <c r="U44">
        <f>IF(RecruitmentTable[[#This Row],[Final Status]]="Selected",1,0)</f>
        <v>0</v>
      </c>
    </row>
    <row r="45" spans="1:21" x14ac:dyDescent="0.25">
      <c r="A45" t="s">
        <v>135</v>
      </c>
      <c r="B45" t="s">
        <v>136</v>
      </c>
      <c r="C45" s="1">
        <v>46121</v>
      </c>
      <c r="D45" t="s">
        <v>83</v>
      </c>
      <c r="E45" t="s">
        <v>34</v>
      </c>
      <c r="F45" t="s">
        <v>23</v>
      </c>
      <c r="G45" t="s">
        <v>84</v>
      </c>
      <c r="H45" t="s">
        <v>25</v>
      </c>
      <c r="I45" t="s">
        <v>26</v>
      </c>
      <c r="J45" t="s">
        <v>27</v>
      </c>
      <c r="K45" s="1">
        <v>46127</v>
      </c>
      <c r="L45" t="s">
        <v>28</v>
      </c>
      <c r="M45" t="s">
        <v>37</v>
      </c>
      <c r="O45" t="s">
        <v>38</v>
      </c>
      <c r="Q45">
        <v>6</v>
      </c>
      <c r="T45" t="str">
        <f>IF(RecruitmentTable[[#This Row],[Final Status]]="In process","Screening",IF(RecruitmentTable[[#This Row],[Final Status]]="Selected","Offer","Rejected"))</f>
        <v>Rejected</v>
      </c>
      <c r="U45">
        <f>IF(RecruitmentTable[[#This Row],[Final Status]]="Selected",1,0)</f>
        <v>0</v>
      </c>
    </row>
    <row r="46" spans="1:21" x14ac:dyDescent="0.25">
      <c r="A46" t="s">
        <v>137</v>
      </c>
      <c r="B46" t="s">
        <v>138</v>
      </c>
      <c r="C46" s="1">
        <v>46295</v>
      </c>
      <c r="D46" t="s">
        <v>65</v>
      </c>
      <c r="E46" t="s">
        <v>42</v>
      </c>
      <c r="F46" t="s">
        <v>43</v>
      </c>
      <c r="G46" t="s">
        <v>36</v>
      </c>
      <c r="H46" t="s">
        <v>25</v>
      </c>
      <c r="I46" t="s">
        <v>37</v>
      </c>
      <c r="J46" t="s">
        <v>38</v>
      </c>
      <c r="K46" s="1"/>
      <c r="L46" t="s">
        <v>38</v>
      </c>
      <c r="M46" t="s">
        <v>37</v>
      </c>
      <c r="O46" t="s">
        <v>38</v>
      </c>
      <c r="T46" t="str">
        <f>IF(RecruitmentTable[[#This Row],[Final Status]]="In process","Screening",IF(RecruitmentTable[[#This Row],[Final Status]]="Selected","Offer","Rejected"))</f>
        <v>Rejected</v>
      </c>
      <c r="U46">
        <f>IF(RecruitmentTable[[#This Row],[Final Status]]="Selected",1,0)</f>
        <v>0</v>
      </c>
    </row>
    <row r="47" spans="1:21" x14ac:dyDescent="0.25">
      <c r="A47" t="s">
        <v>139</v>
      </c>
      <c r="B47" t="s">
        <v>53</v>
      </c>
      <c r="C47" s="1">
        <v>46255</v>
      </c>
      <c r="D47" t="s">
        <v>21</v>
      </c>
      <c r="E47" t="s">
        <v>22</v>
      </c>
      <c r="F47" t="s">
        <v>100</v>
      </c>
      <c r="G47" t="s">
        <v>84</v>
      </c>
      <c r="H47" t="s">
        <v>44</v>
      </c>
      <c r="I47" t="s">
        <v>37</v>
      </c>
      <c r="J47" t="s">
        <v>38</v>
      </c>
      <c r="K47" s="1"/>
      <c r="L47" t="s">
        <v>38</v>
      </c>
      <c r="M47" t="s">
        <v>37</v>
      </c>
      <c r="O47" t="s">
        <v>38</v>
      </c>
      <c r="T47" t="str">
        <f>IF(RecruitmentTable[[#This Row],[Final Status]]="In process","Screening",IF(RecruitmentTable[[#This Row],[Final Status]]="Selected","Offer","Rejected"))</f>
        <v>Rejected</v>
      </c>
      <c r="U47">
        <f>IF(RecruitmentTable[[#This Row],[Final Status]]="Selected",1,0)</f>
        <v>0</v>
      </c>
    </row>
    <row r="48" spans="1:21" x14ac:dyDescent="0.25">
      <c r="A48" t="s">
        <v>140</v>
      </c>
      <c r="B48" t="s">
        <v>141</v>
      </c>
      <c r="C48" s="1">
        <v>46091</v>
      </c>
      <c r="D48" t="s">
        <v>56</v>
      </c>
      <c r="E48" t="s">
        <v>34</v>
      </c>
      <c r="F48" t="s">
        <v>50</v>
      </c>
      <c r="G48" t="s">
        <v>84</v>
      </c>
      <c r="H48" t="s">
        <v>44</v>
      </c>
      <c r="I48" t="s">
        <v>37</v>
      </c>
      <c r="J48" t="s">
        <v>38</v>
      </c>
      <c r="K48" s="1"/>
      <c r="L48" t="s">
        <v>38</v>
      </c>
      <c r="M48" t="s">
        <v>37</v>
      </c>
      <c r="O48" t="s">
        <v>38</v>
      </c>
      <c r="T48" t="str">
        <f>IF(RecruitmentTable[[#This Row],[Final Status]]="In process","Screening",IF(RecruitmentTable[[#This Row],[Final Status]]="Selected","Offer","Rejected"))</f>
        <v>Rejected</v>
      </c>
      <c r="U48">
        <f>IF(RecruitmentTable[[#This Row],[Final Status]]="Selected",1,0)</f>
        <v>0</v>
      </c>
    </row>
    <row r="49" spans="1:21" x14ac:dyDescent="0.25">
      <c r="A49" t="s">
        <v>142</v>
      </c>
      <c r="B49" t="s">
        <v>143</v>
      </c>
      <c r="C49" s="1">
        <v>46061</v>
      </c>
      <c r="D49" t="s">
        <v>41</v>
      </c>
      <c r="E49" t="s">
        <v>42</v>
      </c>
      <c r="F49" t="s">
        <v>57</v>
      </c>
      <c r="G49" t="s">
        <v>36</v>
      </c>
      <c r="H49" t="s">
        <v>51</v>
      </c>
      <c r="I49" t="s">
        <v>26</v>
      </c>
      <c r="J49" t="s">
        <v>38</v>
      </c>
      <c r="K49" s="1"/>
      <c r="L49" t="s">
        <v>58</v>
      </c>
      <c r="M49" t="s">
        <v>59</v>
      </c>
      <c r="O49" t="s">
        <v>38</v>
      </c>
      <c r="T49" t="str">
        <f>IF(RecruitmentTable[[#This Row],[Final Status]]="In process","Screening",IF(RecruitmentTable[[#This Row],[Final Status]]="Selected","Offer","Rejected"))</f>
        <v>Screening</v>
      </c>
      <c r="U49">
        <f>IF(RecruitmentTable[[#This Row],[Final Status]]="Selected",1,0)</f>
        <v>0</v>
      </c>
    </row>
    <row r="50" spans="1:21" x14ac:dyDescent="0.25">
      <c r="A50" t="s">
        <v>144</v>
      </c>
      <c r="B50" t="s">
        <v>145</v>
      </c>
      <c r="C50" s="1">
        <v>46168</v>
      </c>
      <c r="D50" t="s">
        <v>33</v>
      </c>
      <c r="E50" t="s">
        <v>34</v>
      </c>
      <c r="F50" t="s">
        <v>23</v>
      </c>
      <c r="G50" t="s">
        <v>71</v>
      </c>
      <c r="H50" t="s">
        <v>72</v>
      </c>
      <c r="I50" t="s">
        <v>26</v>
      </c>
      <c r="J50" t="s">
        <v>27</v>
      </c>
      <c r="K50" s="1">
        <v>46181</v>
      </c>
      <c r="L50" t="s">
        <v>28</v>
      </c>
      <c r="M50" t="s">
        <v>37</v>
      </c>
      <c r="O50" t="s">
        <v>38</v>
      </c>
      <c r="Q50">
        <v>13</v>
      </c>
      <c r="T50" t="str">
        <f>IF(RecruitmentTable[[#This Row],[Final Status]]="In process","Screening",IF(RecruitmentTable[[#This Row],[Final Status]]="Selected","Offer","Rejected"))</f>
        <v>Rejected</v>
      </c>
      <c r="U50">
        <f>IF(RecruitmentTable[[#This Row],[Final Status]]="Selected",1,0)</f>
        <v>0</v>
      </c>
    </row>
    <row r="51" spans="1:21" x14ac:dyDescent="0.25">
      <c r="A51" t="s">
        <v>146</v>
      </c>
      <c r="B51" t="s">
        <v>147</v>
      </c>
      <c r="C51" s="1">
        <v>46144</v>
      </c>
      <c r="D51" t="s">
        <v>41</v>
      </c>
      <c r="E51" t="s">
        <v>42</v>
      </c>
      <c r="F51" t="s">
        <v>57</v>
      </c>
      <c r="G51" t="s">
        <v>36</v>
      </c>
      <c r="H51" t="s">
        <v>25</v>
      </c>
      <c r="I51" t="s">
        <v>26</v>
      </c>
      <c r="J51" t="s">
        <v>38</v>
      </c>
      <c r="K51" s="1"/>
      <c r="L51" t="s">
        <v>58</v>
      </c>
      <c r="M51" t="s">
        <v>59</v>
      </c>
      <c r="O51" t="s">
        <v>38</v>
      </c>
      <c r="T51" t="str">
        <f>IF(RecruitmentTable[[#This Row],[Final Status]]="In process","Screening",IF(RecruitmentTable[[#This Row],[Final Status]]="Selected","Offer","Rejected"))</f>
        <v>Screening</v>
      </c>
      <c r="U51">
        <f>IF(RecruitmentTable[[#This Row],[Final Status]]="Selected",1,0)</f>
        <v>0</v>
      </c>
    </row>
    <row r="52" spans="1:21" x14ac:dyDescent="0.25">
      <c r="A52" t="s">
        <v>148</v>
      </c>
      <c r="B52" t="s">
        <v>149</v>
      </c>
      <c r="C52" s="1">
        <v>46154</v>
      </c>
      <c r="D52" t="s">
        <v>56</v>
      </c>
      <c r="E52" t="s">
        <v>34</v>
      </c>
      <c r="F52" t="s">
        <v>35</v>
      </c>
      <c r="G52" t="s">
        <v>71</v>
      </c>
      <c r="H52" t="s">
        <v>44</v>
      </c>
      <c r="I52" t="s">
        <v>37</v>
      </c>
      <c r="J52" t="s">
        <v>38</v>
      </c>
      <c r="K52" s="1"/>
      <c r="L52" t="s">
        <v>38</v>
      </c>
      <c r="M52" t="s">
        <v>37</v>
      </c>
      <c r="O52" t="s">
        <v>38</v>
      </c>
      <c r="T52" t="str">
        <f>IF(RecruitmentTable[[#This Row],[Final Status]]="In process","Screening",IF(RecruitmentTable[[#This Row],[Final Status]]="Selected","Offer","Rejected"))</f>
        <v>Rejected</v>
      </c>
      <c r="U52">
        <f>IF(RecruitmentTable[[#This Row],[Final Status]]="Selected",1,0)</f>
        <v>0</v>
      </c>
    </row>
    <row r="53" spans="1:21" x14ac:dyDescent="0.25">
      <c r="A53" t="s">
        <v>150</v>
      </c>
      <c r="B53" t="s">
        <v>131</v>
      </c>
      <c r="C53" s="1">
        <v>46041</v>
      </c>
      <c r="D53" t="s">
        <v>41</v>
      </c>
      <c r="E53" t="s">
        <v>42</v>
      </c>
      <c r="F53" t="s">
        <v>57</v>
      </c>
      <c r="G53" t="s">
        <v>36</v>
      </c>
      <c r="H53" t="s">
        <v>44</v>
      </c>
      <c r="I53" t="s">
        <v>26</v>
      </c>
      <c r="J53" t="s">
        <v>38</v>
      </c>
      <c r="K53" s="1"/>
      <c r="L53" t="s">
        <v>58</v>
      </c>
      <c r="M53" t="s">
        <v>59</v>
      </c>
      <c r="O53" t="s">
        <v>38</v>
      </c>
      <c r="T53" t="str">
        <f>IF(RecruitmentTable[[#This Row],[Final Status]]="In process","Screening",IF(RecruitmentTable[[#This Row],[Final Status]]="Selected","Offer","Rejected"))</f>
        <v>Screening</v>
      </c>
      <c r="U53">
        <f>IF(RecruitmentTable[[#This Row],[Final Status]]="Selected",1,0)</f>
        <v>0</v>
      </c>
    </row>
    <row r="54" spans="1:21" x14ac:dyDescent="0.25">
      <c r="A54" t="s">
        <v>151</v>
      </c>
      <c r="B54" t="s">
        <v>152</v>
      </c>
      <c r="C54" s="1">
        <v>46023</v>
      </c>
      <c r="D54" t="s">
        <v>65</v>
      </c>
      <c r="E54" t="s">
        <v>42</v>
      </c>
      <c r="F54" t="s">
        <v>43</v>
      </c>
      <c r="G54" t="s">
        <v>24</v>
      </c>
      <c r="H54" t="s">
        <v>44</v>
      </c>
      <c r="I54" t="s">
        <v>26</v>
      </c>
      <c r="J54" t="s">
        <v>38</v>
      </c>
      <c r="K54" s="1"/>
      <c r="L54" t="s">
        <v>58</v>
      </c>
      <c r="M54" t="s">
        <v>59</v>
      </c>
      <c r="O54" t="s">
        <v>38</v>
      </c>
      <c r="T54" t="str">
        <f>IF(RecruitmentTable[[#This Row],[Final Status]]="In process","Screening",IF(RecruitmentTable[[#This Row],[Final Status]]="Selected","Offer","Rejected"))</f>
        <v>Screening</v>
      </c>
      <c r="U54">
        <f>IF(RecruitmentTable[[#This Row],[Final Status]]="Selected",1,0)</f>
        <v>0</v>
      </c>
    </row>
    <row r="55" spans="1:21" x14ac:dyDescent="0.25">
      <c r="A55" t="s">
        <v>153</v>
      </c>
      <c r="B55" t="s">
        <v>123</v>
      </c>
      <c r="C55" s="1">
        <v>46156</v>
      </c>
      <c r="D55" t="s">
        <v>21</v>
      </c>
      <c r="E55" t="s">
        <v>22</v>
      </c>
      <c r="F55" t="s">
        <v>35</v>
      </c>
      <c r="G55" t="s">
        <v>66</v>
      </c>
      <c r="H55" t="s">
        <v>25</v>
      </c>
      <c r="I55" t="s">
        <v>26</v>
      </c>
      <c r="J55" t="s">
        <v>38</v>
      </c>
      <c r="K55" s="1"/>
      <c r="L55" t="s">
        <v>58</v>
      </c>
      <c r="M55" t="s">
        <v>59</v>
      </c>
      <c r="O55" t="s">
        <v>38</v>
      </c>
      <c r="T55" t="str">
        <f>IF(RecruitmentTable[[#This Row],[Final Status]]="In process","Screening",IF(RecruitmentTable[[#This Row],[Final Status]]="Selected","Offer","Rejected"))</f>
        <v>Screening</v>
      </c>
      <c r="U55">
        <f>IF(RecruitmentTable[[#This Row],[Final Status]]="Selected",1,0)</f>
        <v>0</v>
      </c>
    </row>
    <row r="56" spans="1:21" x14ac:dyDescent="0.25">
      <c r="A56" t="s">
        <v>154</v>
      </c>
      <c r="B56" t="s">
        <v>155</v>
      </c>
      <c r="C56" s="1">
        <v>46249</v>
      </c>
      <c r="D56" t="s">
        <v>65</v>
      </c>
      <c r="E56" t="s">
        <v>42</v>
      </c>
      <c r="F56" t="s">
        <v>57</v>
      </c>
      <c r="G56" t="s">
        <v>24</v>
      </c>
      <c r="H56" t="s">
        <v>72</v>
      </c>
      <c r="I56" t="s">
        <v>37</v>
      </c>
      <c r="J56" t="s">
        <v>38</v>
      </c>
      <c r="K56" s="1"/>
      <c r="L56" t="s">
        <v>38</v>
      </c>
      <c r="M56" t="s">
        <v>37</v>
      </c>
      <c r="O56" t="s">
        <v>38</v>
      </c>
      <c r="T56" t="str">
        <f>IF(RecruitmentTable[[#This Row],[Final Status]]="In process","Screening",IF(RecruitmentTable[[#This Row],[Final Status]]="Selected","Offer","Rejected"))</f>
        <v>Rejected</v>
      </c>
      <c r="U56">
        <f>IF(RecruitmentTable[[#This Row],[Final Status]]="Selected",1,0)</f>
        <v>0</v>
      </c>
    </row>
    <row r="57" spans="1:21" x14ac:dyDescent="0.25">
      <c r="A57" t="s">
        <v>156</v>
      </c>
      <c r="B57" t="s">
        <v>125</v>
      </c>
      <c r="C57" s="1">
        <v>46076</v>
      </c>
      <c r="D57" t="s">
        <v>65</v>
      </c>
      <c r="E57" t="s">
        <v>42</v>
      </c>
      <c r="F57" t="s">
        <v>57</v>
      </c>
      <c r="G57" t="s">
        <v>47</v>
      </c>
      <c r="H57" t="s">
        <v>44</v>
      </c>
      <c r="I57" t="s">
        <v>37</v>
      </c>
      <c r="J57" t="s">
        <v>38</v>
      </c>
      <c r="K57" s="1"/>
      <c r="L57" t="s">
        <v>38</v>
      </c>
      <c r="M57" t="s">
        <v>37</v>
      </c>
      <c r="O57" t="s">
        <v>38</v>
      </c>
      <c r="T57" t="str">
        <f>IF(RecruitmentTable[[#This Row],[Final Status]]="In process","Screening",IF(RecruitmentTable[[#This Row],[Final Status]]="Selected","Offer","Rejected"))</f>
        <v>Rejected</v>
      </c>
      <c r="U57">
        <f>IF(RecruitmentTable[[#This Row],[Final Status]]="Selected",1,0)</f>
        <v>0</v>
      </c>
    </row>
    <row r="58" spans="1:21" x14ac:dyDescent="0.25">
      <c r="A58" t="s">
        <v>157</v>
      </c>
      <c r="B58" t="s">
        <v>158</v>
      </c>
      <c r="C58" s="1">
        <v>46178</v>
      </c>
      <c r="D58" t="s">
        <v>56</v>
      </c>
      <c r="E58" t="s">
        <v>34</v>
      </c>
      <c r="F58" t="s">
        <v>50</v>
      </c>
      <c r="G58" t="s">
        <v>24</v>
      </c>
      <c r="H58" t="s">
        <v>51</v>
      </c>
      <c r="I58" t="s">
        <v>26</v>
      </c>
      <c r="J58" t="s">
        <v>27</v>
      </c>
      <c r="K58" s="1">
        <v>46185</v>
      </c>
      <c r="L58" t="s">
        <v>28</v>
      </c>
      <c r="M58" t="s">
        <v>37</v>
      </c>
      <c r="O58" t="s">
        <v>38</v>
      </c>
      <c r="Q58">
        <v>7</v>
      </c>
      <c r="T58" t="str">
        <f>IF(RecruitmentTable[[#This Row],[Final Status]]="In process","Screening",IF(RecruitmentTable[[#This Row],[Final Status]]="Selected","Offer","Rejected"))</f>
        <v>Rejected</v>
      </c>
      <c r="U58">
        <f>IF(RecruitmentTable[[#This Row],[Final Status]]="Selected",1,0)</f>
        <v>0</v>
      </c>
    </row>
    <row r="59" spans="1:21" x14ac:dyDescent="0.25">
      <c r="A59" t="s">
        <v>159</v>
      </c>
      <c r="B59" t="s">
        <v>127</v>
      </c>
      <c r="C59" s="1">
        <v>46234</v>
      </c>
      <c r="D59" t="s">
        <v>65</v>
      </c>
      <c r="E59" t="s">
        <v>42</v>
      </c>
      <c r="F59" t="s">
        <v>57</v>
      </c>
      <c r="G59" t="s">
        <v>24</v>
      </c>
      <c r="H59" t="s">
        <v>62</v>
      </c>
      <c r="I59" t="s">
        <v>37</v>
      </c>
      <c r="J59" t="s">
        <v>38</v>
      </c>
      <c r="K59" s="1"/>
      <c r="L59" t="s">
        <v>38</v>
      </c>
      <c r="M59" t="s">
        <v>37</v>
      </c>
      <c r="O59" t="s">
        <v>38</v>
      </c>
      <c r="T59" t="str">
        <f>IF(RecruitmentTable[[#This Row],[Final Status]]="In process","Screening",IF(RecruitmentTable[[#This Row],[Final Status]]="Selected","Offer","Rejected"))</f>
        <v>Rejected</v>
      </c>
      <c r="U59">
        <f>IF(RecruitmentTable[[#This Row],[Final Status]]="Selected",1,0)</f>
        <v>0</v>
      </c>
    </row>
    <row r="60" spans="1:21" x14ac:dyDescent="0.25">
      <c r="A60" t="s">
        <v>160</v>
      </c>
      <c r="B60" t="s">
        <v>161</v>
      </c>
      <c r="C60" s="1">
        <v>46278</v>
      </c>
      <c r="D60" t="s">
        <v>65</v>
      </c>
      <c r="E60" t="s">
        <v>42</v>
      </c>
      <c r="F60" t="s">
        <v>57</v>
      </c>
      <c r="G60" t="s">
        <v>66</v>
      </c>
      <c r="H60" t="s">
        <v>51</v>
      </c>
      <c r="I60" t="s">
        <v>37</v>
      </c>
      <c r="J60" t="s">
        <v>38</v>
      </c>
      <c r="K60" s="1"/>
      <c r="L60" t="s">
        <v>38</v>
      </c>
      <c r="M60" t="s">
        <v>37</v>
      </c>
      <c r="O60" t="s">
        <v>38</v>
      </c>
      <c r="T60" t="str">
        <f>IF(RecruitmentTable[[#This Row],[Final Status]]="In process","Screening",IF(RecruitmentTable[[#This Row],[Final Status]]="Selected","Offer","Rejected"))</f>
        <v>Rejected</v>
      </c>
      <c r="U60">
        <f>IF(RecruitmentTable[[#This Row],[Final Status]]="Selected",1,0)</f>
        <v>0</v>
      </c>
    </row>
    <row r="61" spans="1:21" x14ac:dyDescent="0.25">
      <c r="A61" t="s">
        <v>162</v>
      </c>
      <c r="B61" t="s">
        <v>163</v>
      </c>
      <c r="C61" s="1">
        <v>46087</v>
      </c>
      <c r="D61" t="s">
        <v>83</v>
      </c>
      <c r="E61" t="s">
        <v>34</v>
      </c>
      <c r="F61" t="s">
        <v>43</v>
      </c>
      <c r="G61" t="s">
        <v>66</v>
      </c>
      <c r="H61" t="s">
        <v>51</v>
      </c>
      <c r="I61" t="s">
        <v>26</v>
      </c>
      <c r="J61" t="s">
        <v>38</v>
      </c>
      <c r="K61" s="1"/>
      <c r="L61" t="s">
        <v>58</v>
      </c>
      <c r="M61" t="s">
        <v>59</v>
      </c>
      <c r="O61" t="s">
        <v>38</v>
      </c>
      <c r="T61" t="str">
        <f>IF(RecruitmentTable[[#This Row],[Final Status]]="In process","Screening",IF(RecruitmentTable[[#This Row],[Final Status]]="Selected","Offer","Rejected"))</f>
        <v>Screening</v>
      </c>
      <c r="U61">
        <f>IF(RecruitmentTable[[#This Row],[Final Status]]="Selected",1,0)</f>
        <v>0</v>
      </c>
    </row>
    <row r="62" spans="1:21" x14ac:dyDescent="0.25">
      <c r="A62" t="s">
        <v>164</v>
      </c>
      <c r="B62" t="s">
        <v>165</v>
      </c>
      <c r="C62" s="1">
        <v>46120</v>
      </c>
      <c r="D62" t="s">
        <v>41</v>
      </c>
      <c r="E62" t="s">
        <v>42</v>
      </c>
      <c r="F62" t="s">
        <v>57</v>
      </c>
      <c r="G62" t="s">
        <v>24</v>
      </c>
      <c r="H62" t="s">
        <v>44</v>
      </c>
      <c r="I62" t="s">
        <v>37</v>
      </c>
      <c r="J62" t="s">
        <v>38</v>
      </c>
      <c r="K62" s="1"/>
      <c r="L62" t="s">
        <v>38</v>
      </c>
      <c r="M62" t="s">
        <v>37</v>
      </c>
      <c r="O62" t="s">
        <v>38</v>
      </c>
      <c r="T62" t="str">
        <f>IF(RecruitmentTable[[#This Row],[Final Status]]="In process","Screening",IF(RecruitmentTable[[#This Row],[Final Status]]="Selected","Offer","Rejected"))</f>
        <v>Rejected</v>
      </c>
      <c r="U62">
        <f>IF(RecruitmentTable[[#This Row],[Final Status]]="Selected",1,0)</f>
        <v>0</v>
      </c>
    </row>
    <row r="63" spans="1:21" x14ac:dyDescent="0.25">
      <c r="A63" t="s">
        <v>166</v>
      </c>
      <c r="B63" t="s">
        <v>167</v>
      </c>
      <c r="C63" s="1">
        <v>46281</v>
      </c>
      <c r="D63" t="s">
        <v>65</v>
      </c>
      <c r="E63" t="s">
        <v>42</v>
      </c>
      <c r="F63" t="s">
        <v>100</v>
      </c>
      <c r="G63" t="s">
        <v>71</v>
      </c>
      <c r="H63" t="s">
        <v>51</v>
      </c>
      <c r="I63" t="s">
        <v>26</v>
      </c>
      <c r="J63" t="s">
        <v>27</v>
      </c>
      <c r="K63" s="1">
        <v>46288</v>
      </c>
      <c r="L63" t="s">
        <v>28</v>
      </c>
      <c r="M63" t="s">
        <v>29</v>
      </c>
      <c r="N63" s="1">
        <v>46295</v>
      </c>
      <c r="O63" t="s">
        <v>30</v>
      </c>
      <c r="P63" s="1">
        <v>46305</v>
      </c>
      <c r="Q63">
        <v>7</v>
      </c>
      <c r="R63">
        <v>7</v>
      </c>
      <c r="S63">
        <v>10</v>
      </c>
      <c r="T63" t="str">
        <f>IF(RecruitmentTable[[#This Row],[Final Status]]="In process","Screening",IF(RecruitmentTable[[#This Row],[Final Status]]="Selected","Offer","Rejected"))</f>
        <v>Offer</v>
      </c>
      <c r="U63">
        <f>IF(RecruitmentTable[[#This Row],[Final Status]]="Selected",1,0)</f>
        <v>1</v>
      </c>
    </row>
    <row r="64" spans="1:21" x14ac:dyDescent="0.25">
      <c r="A64" t="s">
        <v>168</v>
      </c>
      <c r="B64" t="s">
        <v>169</v>
      </c>
      <c r="C64" s="1">
        <v>46056</v>
      </c>
      <c r="D64" t="s">
        <v>56</v>
      </c>
      <c r="E64" t="s">
        <v>34</v>
      </c>
      <c r="F64" t="s">
        <v>50</v>
      </c>
      <c r="G64" t="s">
        <v>24</v>
      </c>
      <c r="H64" t="s">
        <v>51</v>
      </c>
      <c r="I64" t="s">
        <v>26</v>
      </c>
      <c r="J64" t="s">
        <v>38</v>
      </c>
      <c r="K64" s="1"/>
      <c r="L64" t="s">
        <v>58</v>
      </c>
      <c r="M64" t="s">
        <v>59</v>
      </c>
      <c r="O64" t="s">
        <v>38</v>
      </c>
      <c r="T64" t="str">
        <f>IF(RecruitmentTable[[#This Row],[Final Status]]="In process","Screening",IF(RecruitmentTable[[#This Row],[Final Status]]="Selected","Offer","Rejected"))</f>
        <v>Screening</v>
      </c>
      <c r="U64">
        <f>IF(RecruitmentTable[[#This Row],[Final Status]]="Selected",1,0)</f>
        <v>0</v>
      </c>
    </row>
    <row r="65" spans="1:21" x14ac:dyDescent="0.25">
      <c r="A65" t="s">
        <v>170</v>
      </c>
      <c r="B65" t="s">
        <v>171</v>
      </c>
      <c r="C65" s="1">
        <v>46076</v>
      </c>
      <c r="D65" t="s">
        <v>33</v>
      </c>
      <c r="E65" t="s">
        <v>34</v>
      </c>
      <c r="F65" t="s">
        <v>23</v>
      </c>
      <c r="G65" t="s">
        <v>24</v>
      </c>
      <c r="H65" t="s">
        <v>72</v>
      </c>
      <c r="I65" t="s">
        <v>26</v>
      </c>
      <c r="J65" t="s">
        <v>27</v>
      </c>
      <c r="K65" s="1">
        <v>46084</v>
      </c>
      <c r="L65" t="s">
        <v>28</v>
      </c>
      <c r="M65" t="s">
        <v>37</v>
      </c>
      <c r="O65" t="s">
        <v>38</v>
      </c>
      <c r="Q65">
        <v>8</v>
      </c>
      <c r="T65" t="str">
        <f>IF(RecruitmentTable[[#This Row],[Final Status]]="In process","Screening",IF(RecruitmentTable[[#This Row],[Final Status]]="Selected","Offer","Rejected"))</f>
        <v>Rejected</v>
      </c>
      <c r="U65">
        <f>IF(RecruitmentTable[[#This Row],[Final Status]]="Selected",1,0)</f>
        <v>0</v>
      </c>
    </row>
    <row r="66" spans="1:21" x14ac:dyDescent="0.25">
      <c r="A66" t="s">
        <v>172</v>
      </c>
      <c r="B66" t="s">
        <v>173</v>
      </c>
      <c r="C66" s="1">
        <v>46097</v>
      </c>
      <c r="D66" t="s">
        <v>41</v>
      </c>
      <c r="E66" t="s">
        <v>42</v>
      </c>
      <c r="F66" t="s">
        <v>57</v>
      </c>
      <c r="G66" t="s">
        <v>24</v>
      </c>
      <c r="H66" t="s">
        <v>51</v>
      </c>
      <c r="I66" t="s">
        <v>37</v>
      </c>
      <c r="J66" t="s">
        <v>38</v>
      </c>
      <c r="K66" s="1"/>
      <c r="L66" t="s">
        <v>38</v>
      </c>
      <c r="M66" t="s">
        <v>37</v>
      </c>
      <c r="O66" t="s">
        <v>38</v>
      </c>
      <c r="T66" t="str">
        <f>IF(RecruitmentTable[[#This Row],[Final Status]]="In process","Screening",IF(RecruitmentTable[[#This Row],[Final Status]]="Selected","Offer","Rejected"))</f>
        <v>Rejected</v>
      </c>
      <c r="U66">
        <f>IF(RecruitmentTable[[#This Row],[Final Status]]="Selected",1,0)</f>
        <v>0</v>
      </c>
    </row>
    <row r="67" spans="1:21" x14ac:dyDescent="0.25">
      <c r="A67" t="s">
        <v>174</v>
      </c>
      <c r="B67" t="s">
        <v>175</v>
      </c>
      <c r="C67" s="1">
        <v>46271</v>
      </c>
      <c r="D67" t="s">
        <v>83</v>
      </c>
      <c r="E67" t="s">
        <v>34</v>
      </c>
      <c r="F67" t="s">
        <v>43</v>
      </c>
      <c r="G67" t="s">
        <v>71</v>
      </c>
      <c r="H67" t="s">
        <v>51</v>
      </c>
      <c r="I67" t="s">
        <v>37</v>
      </c>
      <c r="J67" t="s">
        <v>38</v>
      </c>
      <c r="K67" s="1"/>
      <c r="L67" t="s">
        <v>38</v>
      </c>
      <c r="M67" t="s">
        <v>37</v>
      </c>
      <c r="O67" t="s">
        <v>38</v>
      </c>
      <c r="T67" t="str">
        <f>IF(RecruitmentTable[[#This Row],[Final Status]]="In process","Screening",IF(RecruitmentTable[[#This Row],[Final Status]]="Selected","Offer","Rejected"))</f>
        <v>Rejected</v>
      </c>
      <c r="U67">
        <f>IF(RecruitmentTable[[#This Row],[Final Status]]="Selected",1,0)</f>
        <v>0</v>
      </c>
    </row>
    <row r="68" spans="1:21" x14ac:dyDescent="0.25">
      <c r="A68" t="s">
        <v>176</v>
      </c>
      <c r="B68" t="s">
        <v>177</v>
      </c>
      <c r="C68" s="1">
        <v>46160</v>
      </c>
      <c r="D68" t="s">
        <v>33</v>
      </c>
      <c r="E68" t="s">
        <v>34</v>
      </c>
      <c r="F68" t="s">
        <v>57</v>
      </c>
      <c r="G68" t="s">
        <v>36</v>
      </c>
      <c r="H68" t="s">
        <v>25</v>
      </c>
      <c r="I68" t="s">
        <v>37</v>
      </c>
      <c r="J68" t="s">
        <v>38</v>
      </c>
      <c r="K68" s="1"/>
      <c r="L68" t="s">
        <v>38</v>
      </c>
      <c r="M68" t="s">
        <v>37</v>
      </c>
      <c r="O68" t="s">
        <v>38</v>
      </c>
      <c r="T68" t="str">
        <f>IF(RecruitmentTable[[#This Row],[Final Status]]="In process","Screening",IF(RecruitmentTable[[#This Row],[Final Status]]="Selected","Offer","Rejected"))</f>
        <v>Rejected</v>
      </c>
      <c r="U68">
        <f>IF(RecruitmentTable[[#This Row],[Final Status]]="Selected",1,0)</f>
        <v>0</v>
      </c>
    </row>
    <row r="69" spans="1:21" x14ac:dyDescent="0.25">
      <c r="A69" t="s">
        <v>178</v>
      </c>
      <c r="B69" t="s">
        <v>179</v>
      </c>
      <c r="C69" s="1">
        <v>46148</v>
      </c>
      <c r="D69" t="s">
        <v>65</v>
      </c>
      <c r="E69" t="s">
        <v>42</v>
      </c>
      <c r="F69" t="s">
        <v>57</v>
      </c>
      <c r="G69" t="s">
        <v>24</v>
      </c>
      <c r="H69" t="s">
        <v>72</v>
      </c>
      <c r="I69" t="s">
        <v>26</v>
      </c>
      <c r="J69" t="s">
        <v>27</v>
      </c>
      <c r="K69" s="1">
        <v>46159</v>
      </c>
      <c r="L69" t="s">
        <v>28</v>
      </c>
      <c r="M69" t="s">
        <v>37</v>
      </c>
      <c r="O69" t="s">
        <v>38</v>
      </c>
      <c r="Q69">
        <v>11</v>
      </c>
      <c r="T69" t="str">
        <f>IF(RecruitmentTable[[#This Row],[Final Status]]="In process","Screening",IF(RecruitmentTable[[#This Row],[Final Status]]="Selected","Offer","Rejected"))</f>
        <v>Rejected</v>
      </c>
      <c r="U69">
        <f>IF(RecruitmentTable[[#This Row],[Final Status]]="Selected",1,0)</f>
        <v>0</v>
      </c>
    </row>
    <row r="70" spans="1:21" x14ac:dyDescent="0.25">
      <c r="A70" t="s">
        <v>180</v>
      </c>
      <c r="B70" t="s">
        <v>181</v>
      </c>
      <c r="C70" s="1">
        <v>46206</v>
      </c>
      <c r="D70" t="s">
        <v>83</v>
      </c>
      <c r="E70" t="s">
        <v>34</v>
      </c>
      <c r="F70" t="s">
        <v>35</v>
      </c>
      <c r="G70" t="s">
        <v>47</v>
      </c>
      <c r="H70" t="s">
        <v>51</v>
      </c>
      <c r="I70" t="s">
        <v>37</v>
      </c>
      <c r="J70" t="s">
        <v>38</v>
      </c>
      <c r="K70" s="1"/>
      <c r="L70" t="s">
        <v>38</v>
      </c>
      <c r="M70" t="s">
        <v>37</v>
      </c>
      <c r="O70" t="s">
        <v>38</v>
      </c>
      <c r="T70" t="str">
        <f>IF(RecruitmentTable[[#This Row],[Final Status]]="In process","Screening",IF(RecruitmentTable[[#This Row],[Final Status]]="Selected","Offer","Rejected"))</f>
        <v>Rejected</v>
      </c>
      <c r="U70">
        <f>IF(RecruitmentTable[[#This Row],[Final Status]]="Selected",1,0)</f>
        <v>0</v>
      </c>
    </row>
    <row r="71" spans="1:21" x14ac:dyDescent="0.25">
      <c r="A71" t="s">
        <v>182</v>
      </c>
      <c r="B71" t="s">
        <v>183</v>
      </c>
      <c r="C71" s="1">
        <v>46027</v>
      </c>
      <c r="D71" t="s">
        <v>56</v>
      </c>
      <c r="E71" t="s">
        <v>34</v>
      </c>
      <c r="F71" t="s">
        <v>57</v>
      </c>
      <c r="G71" t="s">
        <v>84</v>
      </c>
      <c r="H71" t="s">
        <v>72</v>
      </c>
      <c r="I71" t="s">
        <v>26</v>
      </c>
      <c r="J71" t="s">
        <v>27</v>
      </c>
      <c r="K71" s="1">
        <v>46031</v>
      </c>
      <c r="L71" t="s">
        <v>28</v>
      </c>
      <c r="M71" t="s">
        <v>37</v>
      </c>
      <c r="O71" t="s">
        <v>38</v>
      </c>
      <c r="Q71">
        <v>4</v>
      </c>
      <c r="T71" t="str">
        <f>IF(RecruitmentTable[[#This Row],[Final Status]]="In process","Screening",IF(RecruitmentTable[[#This Row],[Final Status]]="Selected","Offer","Rejected"))</f>
        <v>Rejected</v>
      </c>
      <c r="U71">
        <f>IF(RecruitmentTable[[#This Row],[Final Status]]="Selected",1,0)</f>
        <v>0</v>
      </c>
    </row>
    <row r="72" spans="1:21" x14ac:dyDescent="0.25">
      <c r="A72" t="s">
        <v>184</v>
      </c>
      <c r="B72" t="s">
        <v>185</v>
      </c>
      <c r="C72" s="1">
        <v>46095</v>
      </c>
      <c r="D72" t="s">
        <v>41</v>
      </c>
      <c r="E72" t="s">
        <v>42</v>
      </c>
      <c r="F72" t="s">
        <v>50</v>
      </c>
      <c r="G72" t="s">
        <v>36</v>
      </c>
      <c r="H72" t="s">
        <v>62</v>
      </c>
      <c r="I72" t="s">
        <v>37</v>
      </c>
      <c r="J72" t="s">
        <v>38</v>
      </c>
      <c r="K72" s="1"/>
      <c r="L72" t="s">
        <v>38</v>
      </c>
      <c r="M72" t="s">
        <v>37</v>
      </c>
      <c r="O72" t="s">
        <v>38</v>
      </c>
      <c r="T72" t="str">
        <f>IF(RecruitmentTable[[#This Row],[Final Status]]="In process","Screening",IF(RecruitmentTable[[#This Row],[Final Status]]="Selected","Offer","Rejected"))</f>
        <v>Rejected</v>
      </c>
      <c r="U72">
        <f>IF(RecruitmentTable[[#This Row],[Final Status]]="Selected",1,0)</f>
        <v>0</v>
      </c>
    </row>
    <row r="73" spans="1:21" x14ac:dyDescent="0.25">
      <c r="A73" t="s">
        <v>186</v>
      </c>
      <c r="B73" t="s">
        <v>187</v>
      </c>
      <c r="C73" s="1">
        <v>46279</v>
      </c>
      <c r="D73" t="s">
        <v>41</v>
      </c>
      <c r="E73" t="s">
        <v>42</v>
      </c>
      <c r="F73" t="s">
        <v>100</v>
      </c>
      <c r="G73" t="s">
        <v>36</v>
      </c>
      <c r="H73" t="s">
        <v>51</v>
      </c>
      <c r="I73" t="s">
        <v>37</v>
      </c>
      <c r="J73" t="s">
        <v>38</v>
      </c>
      <c r="K73" s="1"/>
      <c r="L73" t="s">
        <v>38</v>
      </c>
      <c r="M73" t="s">
        <v>37</v>
      </c>
      <c r="O73" t="s">
        <v>38</v>
      </c>
      <c r="T73" t="str">
        <f>IF(RecruitmentTable[[#This Row],[Final Status]]="In process","Screening",IF(RecruitmentTable[[#This Row],[Final Status]]="Selected","Offer","Rejected"))</f>
        <v>Rejected</v>
      </c>
      <c r="U73">
        <f>IF(RecruitmentTable[[#This Row],[Final Status]]="Selected",1,0)</f>
        <v>0</v>
      </c>
    </row>
    <row r="74" spans="1:21" x14ac:dyDescent="0.25">
      <c r="A74" t="s">
        <v>188</v>
      </c>
      <c r="B74" t="s">
        <v>189</v>
      </c>
      <c r="C74" s="1">
        <v>46176</v>
      </c>
      <c r="D74" t="s">
        <v>41</v>
      </c>
      <c r="E74" t="s">
        <v>42</v>
      </c>
      <c r="F74" t="s">
        <v>50</v>
      </c>
      <c r="G74" t="s">
        <v>24</v>
      </c>
      <c r="H74" t="s">
        <v>62</v>
      </c>
      <c r="I74" t="s">
        <v>26</v>
      </c>
      <c r="J74" t="s">
        <v>27</v>
      </c>
      <c r="K74" s="1">
        <v>46182</v>
      </c>
      <c r="L74" t="s">
        <v>28</v>
      </c>
      <c r="M74" t="s">
        <v>37</v>
      </c>
      <c r="O74" t="s">
        <v>38</v>
      </c>
      <c r="Q74">
        <v>6</v>
      </c>
      <c r="T74" t="str">
        <f>IF(RecruitmentTable[[#This Row],[Final Status]]="In process","Screening",IF(RecruitmentTable[[#This Row],[Final Status]]="Selected","Offer","Rejected"))</f>
        <v>Rejected</v>
      </c>
      <c r="U74">
        <f>IF(RecruitmentTable[[#This Row],[Final Status]]="Selected",1,0)</f>
        <v>0</v>
      </c>
    </row>
    <row r="75" spans="1:21" x14ac:dyDescent="0.25">
      <c r="A75" t="s">
        <v>190</v>
      </c>
      <c r="B75" t="s">
        <v>191</v>
      </c>
      <c r="C75" s="1">
        <v>46214</v>
      </c>
      <c r="D75" t="s">
        <v>56</v>
      </c>
      <c r="E75" t="s">
        <v>34</v>
      </c>
      <c r="F75" t="s">
        <v>57</v>
      </c>
      <c r="G75" t="s">
        <v>84</v>
      </c>
      <c r="H75" t="s">
        <v>72</v>
      </c>
      <c r="I75" t="s">
        <v>37</v>
      </c>
      <c r="J75" t="s">
        <v>38</v>
      </c>
      <c r="K75" s="1"/>
      <c r="L75" t="s">
        <v>38</v>
      </c>
      <c r="M75" t="s">
        <v>37</v>
      </c>
      <c r="O75" t="s">
        <v>38</v>
      </c>
      <c r="T75" t="str">
        <f>IF(RecruitmentTable[[#This Row],[Final Status]]="In process","Screening",IF(RecruitmentTable[[#This Row],[Final Status]]="Selected","Offer","Rejected"))</f>
        <v>Rejected</v>
      </c>
      <c r="U75">
        <f>IF(RecruitmentTable[[#This Row],[Final Status]]="Selected",1,0)</f>
        <v>0</v>
      </c>
    </row>
    <row r="76" spans="1:21" x14ac:dyDescent="0.25">
      <c r="A76" t="s">
        <v>192</v>
      </c>
      <c r="B76" t="s">
        <v>193</v>
      </c>
      <c r="C76" s="1">
        <v>46167</v>
      </c>
      <c r="D76" t="s">
        <v>56</v>
      </c>
      <c r="E76" t="s">
        <v>34</v>
      </c>
      <c r="F76" t="s">
        <v>43</v>
      </c>
      <c r="G76" t="s">
        <v>36</v>
      </c>
      <c r="H76" t="s">
        <v>72</v>
      </c>
      <c r="I76" t="s">
        <v>26</v>
      </c>
      <c r="J76" t="s">
        <v>27</v>
      </c>
      <c r="K76" s="1">
        <v>46172</v>
      </c>
      <c r="L76" t="s">
        <v>28</v>
      </c>
      <c r="M76" t="s">
        <v>37</v>
      </c>
      <c r="O76" t="s">
        <v>38</v>
      </c>
      <c r="Q76">
        <v>5</v>
      </c>
      <c r="T76" t="str">
        <f>IF(RecruitmentTable[[#This Row],[Final Status]]="In process","Screening",IF(RecruitmentTable[[#This Row],[Final Status]]="Selected","Offer","Rejected"))</f>
        <v>Rejected</v>
      </c>
      <c r="U76">
        <f>IF(RecruitmentTable[[#This Row],[Final Status]]="Selected",1,0)</f>
        <v>0</v>
      </c>
    </row>
    <row r="77" spans="1:21" x14ac:dyDescent="0.25">
      <c r="A77" t="s">
        <v>194</v>
      </c>
      <c r="B77" t="s">
        <v>195</v>
      </c>
      <c r="C77" s="1">
        <v>46258</v>
      </c>
      <c r="D77" t="s">
        <v>41</v>
      </c>
      <c r="E77" t="s">
        <v>42</v>
      </c>
      <c r="F77" t="s">
        <v>43</v>
      </c>
      <c r="G77" t="s">
        <v>84</v>
      </c>
      <c r="H77" t="s">
        <v>51</v>
      </c>
      <c r="I77" t="s">
        <v>37</v>
      </c>
      <c r="J77" t="s">
        <v>38</v>
      </c>
      <c r="K77" s="1"/>
      <c r="L77" t="s">
        <v>38</v>
      </c>
      <c r="M77" t="s">
        <v>37</v>
      </c>
      <c r="O77" t="s">
        <v>38</v>
      </c>
      <c r="T77" t="str">
        <f>IF(RecruitmentTable[[#This Row],[Final Status]]="In process","Screening",IF(RecruitmentTable[[#This Row],[Final Status]]="Selected","Offer","Rejected"))</f>
        <v>Rejected</v>
      </c>
      <c r="U77">
        <f>IF(RecruitmentTable[[#This Row],[Final Status]]="Selected",1,0)</f>
        <v>0</v>
      </c>
    </row>
    <row r="78" spans="1:21" x14ac:dyDescent="0.25">
      <c r="A78" t="s">
        <v>196</v>
      </c>
      <c r="B78" t="s">
        <v>40</v>
      </c>
      <c r="C78" s="1">
        <v>46251</v>
      </c>
      <c r="D78" t="s">
        <v>33</v>
      </c>
      <c r="E78" t="s">
        <v>34</v>
      </c>
      <c r="F78" t="s">
        <v>57</v>
      </c>
      <c r="G78" t="s">
        <v>24</v>
      </c>
      <c r="H78" t="s">
        <v>44</v>
      </c>
      <c r="I78" t="s">
        <v>37</v>
      </c>
      <c r="J78" t="s">
        <v>38</v>
      </c>
      <c r="K78" s="1"/>
      <c r="L78" t="s">
        <v>38</v>
      </c>
      <c r="M78" t="s">
        <v>37</v>
      </c>
      <c r="O78" t="s">
        <v>38</v>
      </c>
      <c r="T78" t="str">
        <f>IF(RecruitmentTable[[#This Row],[Final Status]]="In process","Screening",IF(RecruitmentTable[[#This Row],[Final Status]]="Selected","Offer","Rejected"))</f>
        <v>Rejected</v>
      </c>
      <c r="U78">
        <f>IF(RecruitmentTable[[#This Row],[Final Status]]="Selected",1,0)</f>
        <v>0</v>
      </c>
    </row>
    <row r="79" spans="1:21" x14ac:dyDescent="0.25">
      <c r="A79" t="s">
        <v>197</v>
      </c>
      <c r="B79" t="s">
        <v>198</v>
      </c>
      <c r="C79" s="1">
        <v>46265</v>
      </c>
      <c r="D79" t="s">
        <v>41</v>
      </c>
      <c r="E79" t="s">
        <v>42</v>
      </c>
      <c r="F79" t="s">
        <v>100</v>
      </c>
      <c r="G79" t="s">
        <v>71</v>
      </c>
      <c r="H79" t="s">
        <v>51</v>
      </c>
      <c r="I79" t="s">
        <v>37</v>
      </c>
      <c r="J79" t="s">
        <v>38</v>
      </c>
      <c r="K79" s="1"/>
      <c r="L79" t="s">
        <v>38</v>
      </c>
      <c r="M79" t="s">
        <v>37</v>
      </c>
      <c r="O79" t="s">
        <v>38</v>
      </c>
      <c r="T79" t="str">
        <f>IF(RecruitmentTable[[#This Row],[Final Status]]="In process","Screening",IF(RecruitmentTable[[#This Row],[Final Status]]="Selected","Offer","Rejected"))</f>
        <v>Rejected</v>
      </c>
      <c r="U79">
        <f>IF(RecruitmentTable[[#This Row],[Final Status]]="Selected",1,0)</f>
        <v>0</v>
      </c>
    </row>
    <row r="80" spans="1:21" x14ac:dyDescent="0.25">
      <c r="A80" t="s">
        <v>199</v>
      </c>
      <c r="B80" t="s">
        <v>200</v>
      </c>
      <c r="C80" s="1">
        <v>46156</v>
      </c>
      <c r="D80" t="s">
        <v>33</v>
      </c>
      <c r="E80" t="s">
        <v>34</v>
      </c>
      <c r="F80" t="s">
        <v>50</v>
      </c>
      <c r="G80" t="s">
        <v>36</v>
      </c>
      <c r="H80" t="s">
        <v>72</v>
      </c>
      <c r="I80" t="s">
        <v>37</v>
      </c>
      <c r="J80" t="s">
        <v>38</v>
      </c>
      <c r="K80" s="1"/>
      <c r="L80" t="s">
        <v>38</v>
      </c>
      <c r="M80" t="s">
        <v>37</v>
      </c>
      <c r="O80" t="s">
        <v>38</v>
      </c>
      <c r="T80" t="str">
        <f>IF(RecruitmentTable[[#This Row],[Final Status]]="In process","Screening",IF(RecruitmentTable[[#This Row],[Final Status]]="Selected","Offer","Rejected"))</f>
        <v>Rejected</v>
      </c>
      <c r="U80">
        <f>IF(RecruitmentTable[[#This Row],[Final Status]]="Selected",1,0)</f>
        <v>0</v>
      </c>
    </row>
    <row r="81" spans="1:21" x14ac:dyDescent="0.25">
      <c r="A81" t="s">
        <v>201</v>
      </c>
      <c r="B81" t="s">
        <v>202</v>
      </c>
      <c r="C81" s="1">
        <v>46048</v>
      </c>
      <c r="D81" t="s">
        <v>56</v>
      </c>
      <c r="E81" t="s">
        <v>34</v>
      </c>
      <c r="F81" t="s">
        <v>57</v>
      </c>
      <c r="G81" t="s">
        <v>71</v>
      </c>
      <c r="H81" t="s">
        <v>44</v>
      </c>
      <c r="I81" t="s">
        <v>26</v>
      </c>
      <c r="J81" t="s">
        <v>27</v>
      </c>
      <c r="K81" s="1">
        <v>46057</v>
      </c>
      <c r="L81" t="s">
        <v>28</v>
      </c>
      <c r="M81" t="s">
        <v>29</v>
      </c>
      <c r="N81" s="1">
        <v>46063</v>
      </c>
      <c r="O81" t="s">
        <v>30</v>
      </c>
      <c r="P81" s="1">
        <v>46083</v>
      </c>
      <c r="Q81">
        <v>9</v>
      </c>
      <c r="R81">
        <v>6</v>
      </c>
      <c r="S81">
        <v>20</v>
      </c>
      <c r="T81" t="str">
        <f>IF(RecruitmentTable[[#This Row],[Final Status]]="In process","Screening",IF(RecruitmentTable[[#This Row],[Final Status]]="Selected","Offer","Rejected"))</f>
        <v>Offer</v>
      </c>
      <c r="U81">
        <f>IF(RecruitmentTable[[#This Row],[Final Status]]="Selected",1,0)</f>
        <v>1</v>
      </c>
    </row>
    <row r="82" spans="1:21" x14ac:dyDescent="0.25">
      <c r="A82" t="s">
        <v>203</v>
      </c>
      <c r="B82" t="s">
        <v>204</v>
      </c>
      <c r="C82" s="1">
        <v>46281</v>
      </c>
      <c r="D82" t="s">
        <v>41</v>
      </c>
      <c r="E82" t="s">
        <v>42</v>
      </c>
      <c r="F82" t="s">
        <v>57</v>
      </c>
      <c r="G82" t="s">
        <v>84</v>
      </c>
      <c r="H82" t="s">
        <v>51</v>
      </c>
      <c r="I82" t="s">
        <v>37</v>
      </c>
      <c r="J82" t="s">
        <v>38</v>
      </c>
      <c r="K82" s="1"/>
      <c r="L82" t="s">
        <v>38</v>
      </c>
      <c r="M82" t="s">
        <v>37</v>
      </c>
      <c r="O82" t="s">
        <v>38</v>
      </c>
      <c r="T82" t="str">
        <f>IF(RecruitmentTable[[#This Row],[Final Status]]="In process","Screening",IF(RecruitmentTable[[#This Row],[Final Status]]="Selected","Offer","Rejected"))</f>
        <v>Rejected</v>
      </c>
      <c r="U82">
        <f>IF(RecruitmentTable[[#This Row],[Final Status]]="Selected",1,0)</f>
        <v>0</v>
      </c>
    </row>
    <row r="83" spans="1:21" x14ac:dyDescent="0.25">
      <c r="A83" t="s">
        <v>205</v>
      </c>
      <c r="B83" t="s">
        <v>206</v>
      </c>
      <c r="C83" s="1">
        <v>46152</v>
      </c>
      <c r="D83" t="s">
        <v>41</v>
      </c>
      <c r="E83" t="s">
        <v>42</v>
      </c>
      <c r="F83" t="s">
        <v>57</v>
      </c>
      <c r="G83" t="s">
        <v>24</v>
      </c>
      <c r="H83" t="s">
        <v>72</v>
      </c>
      <c r="I83" t="s">
        <v>37</v>
      </c>
      <c r="J83" t="s">
        <v>38</v>
      </c>
      <c r="K83" s="1"/>
      <c r="L83" t="s">
        <v>38</v>
      </c>
      <c r="M83" t="s">
        <v>37</v>
      </c>
      <c r="O83" t="s">
        <v>38</v>
      </c>
      <c r="T83" t="str">
        <f>IF(RecruitmentTable[[#This Row],[Final Status]]="In process","Screening",IF(RecruitmentTable[[#This Row],[Final Status]]="Selected","Offer","Rejected"))</f>
        <v>Rejected</v>
      </c>
      <c r="U83">
        <f>IF(RecruitmentTable[[#This Row],[Final Status]]="Selected",1,0)</f>
        <v>0</v>
      </c>
    </row>
    <row r="84" spans="1:21" x14ac:dyDescent="0.25">
      <c r="A84" t="s">
        <v>207</v>
      </c>
      <c r="B84" t="s">
        <v>145</v>
      </c>
      <c r="C84" s="1">
        <v>46116</v>
      </c>
      <c r="D84" t="s">
        <v>41</v>
      </c>
      <c r="E84" t="s">
        <v>42</v>
      </c>
      <c r="F84" t="s">
        <v>50</v>
      </c>
      <c r="G84" t="s">
        <v>47</v>
      </c>
      <c r="H84" t="s">
        <v>51</v>
      </c>
      <c r="I84" t="s">
        <v>26</v>
      </c>
      <c r="J84" t="s">
        <v>38</v>
      </c>
      <c r="K84" s="1"/>
      <c r="L84" t="s">
        <v>58</v>
      </c>
      <c r="M84" t="s">
        <v>59</v>
      </c>
      <c r="O84" t="s">
        <v>38</v>
      </c>
      <c r="T84" t="str">
        <f>IF(RecruitmentTable[[#This Row],[Final Status]]="In process","Screening",IF(RecruitmentTable[[#This Row],[Final Status]]="Selected","Offer","Rejected"))</f>
        <v>Screening</v>
      </c>
      <c r="U84">
        <f>IF(RecruitmentTable[[#This Row],[Final Status]]="Selected",1,0)</f>
        <v>0</v>
      </c>
    </row>
    <row r="85" spans="1:21" x14ac:dyDescent="0.25">
      <c r="A85" t="s">
        <v>208</v>
      </c>
      <c r="B85" t="s">
        <v>209</v>
      </c>
      <c r="C85" s="1">
        <v>46098</v>
      </c>
      <c r="D85" t="s">
        <v>56</v>
      </c>
      <c r="E85" t="s">
        <v>34</v>
      </c>
      <c r="F85" t="s">
        <v>50</v>
      </c>
      <c r="G85" t="s">
        <v>66</v>
      </c>
      <c r="H85" t="s">
        <v>44</v>
      </c>
      <c r="I85" t="s">
        <v>37</v>
      </c>
      <c r="J85" t="s">
        <v>38</v>
      </c>
      <c r="K85" s="1"/>
      <c r="L85" t="s">
        <v>38</v>
      </c>
      <c r="M85" t="s">
        <v>37</v>
      </c>
      <c r="O85" t="s">
        <v>38</v>
      </c>
      <c r="T85" t="str">
        <f>IF(RecruitmentTable[[#This Row],[Final Status]]="In process","Screening",IF(RecruitmentTable[[#This Row],[Final Status]]="Selected","Offer","Rejected"))</f>
        <v>Rejected</v>
      </c>
      <c r="U85">
        <f>IF(RecruitmentTable[[#This Row],[Final Status]]="Selected",1,0)</f>
        <v>0</v>
      </c>
    </row>
    <row r="86" spans="1:21" x14ac:dyDescent="0.25">
      <c r="A86" t="s">
        <v>210</v>
      </c>
      <c r="B86" t="s">
        <v>211</v>
      </c>
      <c r="C86" s="1">
        <v>46251</v>
      </c>
      <c r="D86" t="s">
        <v>41</v>
      </c>
      <c r="E86" t="s">
        <v>42</v>
      </c>
      <c r="F86" t="s">
        <v>57</v>
      </c>
      <c r="G86" t="s">
        <v>24</v>
      </c>
      <c r="H86" t="s">
        <v>25</v>
      </c>
      <c r="I86" t="s">
        <v>26</v>
      </c>
      <c r="J86" t="s">
        <v>27</v>
      </c>
      <c r="K86" s="1">
        <v>46263</v>
      </c>
      <c r="L86" t="s">
        <v>28</v>
      </c>
      <c r="M86" t="s">
        <v>37</v>
      </c>
      <c r="O86" t="s">
        <v>38</v>
      </c>
      <c r="Q86">
        <v>12</v>
      </c>
      <c r="T86" t="str">
        <f>IF(RecruitmentTable[[#This Row],[Final Status]]="In process","Screening",IF(RecruitmentTable[[#This Row],[Final Status]]="Selected","Offer","Rejected"))</f>
        <v>Rejected</v>
      </c>
      <c r="U86">
        <f>IF(RecruitmentTable[[#This Row],[Final Status]]="Selected",1,0)</f>
        <v>0</v>
      </c>
    </row>
    <row r="87" spans="1:21" x14ac:dyDescent="0.25">
      <c r="A87" t="s">
        <v>212</v>
      </c>
      <c r="B87" t="s">
        <v>213</v>
      </c>
      <c r="C87" s="1">
        <v>46111</v>
      </c>
      <c r="D87" t="s">
        <v>65</v>
      </c>
      <c r="E87" t="s">
        <v>42</v>
      </c>
      <c r="F87" t="s">
        <v>50</v>
      </c>
      <c r="G87" t="s">
        <v>84</v>
      </c>
      <c r="H87" t="s">
        <v>62</v>
      </c>
      <c r="I87" t="s">
        <v>37</v>
      </c>
      <c r="J87" t="s">
        <v>38</v>
      </c>
      <c r="K87" s="1"/>
      <c r="L87" t="s">
        <v>38</v>
      </c>
      <c r="M87" t="s">
        <v>37</v>
      </c>
      <c r="O87" t="s">
        <v>38</v>
      </c>
      <c r="T87" t="str">
        <f>IF(RecruitmentTable[[#This Row],[Final Status]]="In process","Screening",IF(RecruitmentTable[[#This Row],[Final Status]]="Selected","Offer","Rejected"))</f>
        <v>Rejected</v>
      </c>
      <c r="U87">
        <f>IF(RecruitmentTable[[#This Row],[Final Status]]="Selected",1,0)</f>
        <v>0</v>
      </c>
    </row>
    <row r="88" spans="1:21" x14ac:dyDescent="0.25">
      <c r="A88" t="s">
        <v>214</v>
      </c>
      <c r="B88" t="s">
        <v>215</v>
      </c>
      <c r="C88" s="1">
        <v>46085</v>
      </c>
      <c r="D88" t="s">
        <v>83</v>
      </c>
      <c r="E88" t="s">
        <v>34</v>
      </c>
      <c r="F88" t="s">
        <v>100</v>
      </c>
      <c r="G88" t="s">
        <v>24</v>
      </c>
      <c r="H88" t="s">
        <v>51</v>
      </c>
      <c r="I88" t="s">
        <v>26</v>
      </c>
      <c r="J88" t="s">
        <v>38</v>
      </c>
      <c r="K88" s="1"/>
      <c r="L88" t="s">
        <v>58</v>
      </c>
      <c r="M88" t="s">
        <v>59</v>
      </c>
      <c r="O88" t="s">
        <v>38</v>
      </c>
      <c r="T88" t="str">
        <f>IF(RecruitmentTable[[#This Row],[Final Status]]="In process","Screening",IF(RecruitmentTable[[#This Row],[Final Status]]="Selected","Offer","Rejected"))</f>
        <v>Screening</v>
      </c>
      <c r="U88">
        <f>IF(RecruitmentTable[[#This Row],[Final Status]]="Selected",1,0)</f>
        <v>0</v>
      </c>
    </row>
    <row r="89" spans="1:21" x14ac:dyDescent="0.25">
      <c r="A89" t="s">
        <v>216</v>
      </c>
      <c r="B89" t="s">
        <v>217</v>
      </c>
      <c r="C89" s="1">
        <v>46220</v>
      </c>
      <c r="D89" t="s">
        <v>33</v>
      </c>
      <c r="E89" t="s">
        <v>34</v>
      </c>
      <c r="F89" t="s">
        <v>43</v>
      </c>
      <c r="G89" t="s">
        <v>36</v>
      </c>
      <c r="H89" t="s">
        <v>44</v>
      </c>
      <c r="I89" t="s">
        <v>37</v>
      </c>
      <c r="J89" t="s">
        <v>38</v>
      </c>
      <c r="K89" s="1"/>
      <c r="L89" t="s">
        <v>38</v>
      </c>
      <c r="M89" t="s">
        <v>37</v>
      </c>
      <c r="O89" t="s">
        <v>38</v>
      </c>
      <c r="T89" t="str">
        <f>IF(RecruitmentTable[[#This Row],[Final Status]]="In process","Screening",IF(RecruitmentTable[[#This Row],[Final Status]]="Selected","Offer","Rejected"))</f>
        <v>Rejected</v>
      </c>
      <c r="U89">
        <f>IF(RecruitmentTable[[#This Row],[Final Status]]="Selected",1,0)</f>
        <v>0</v>
      </c>
    </row>
    <row r="90" spans="1:21" x14ac:dyDescent="0.25">
      <c r="A90" t="s">
        <v>218</v>
      </c>
      <c r="B90" t="s">
        <v>219</v>
      </c>
      <c r="C90" s="1">
        <v>46253</v>
      </c>
      <c r="D90" t="s">
        <v>65</v>
      </c>
      <c r="E90" t="s">
        <v>42</v>
      </c>
      <c r="F90" t="s">
        <v>50</v>
      </c>
      <c r="G90" t="s">
        <v>66</v>
      </c>
      <c r="H90" t="s">
        <v>25</v>
      </c>
      <c r="I90" t="s">
        <v>26</v>
      </c>
      <c r="J90" t="s">
        <v>38</v>
      </c>
      <c r="K90" s="1"/>
      <c r="L90" t="s">
        <v>58</v>
      </c>
      <c r="M90" t="s">
        <v>59</v>
      </c>
      <c r="O90" t="s">
        <v>38</v>
      </c>
      <c r="T90" t="str">
        <f>IF(RecruitmentTable[[#This Row],[Final Status]]="In process","Screening",IF(RecruitmentTable[[#This Row],[Final Status]]="Selected","Offer","Rejected"))</f>
        <v>Screening</v>
      </c>
      <c r="U90">
        <f>IF(RecruitmentTable[[#This Row],[Final Status]]="Selected",1,0)</f>
        <v>0</v>
      </c>
    </row>
    <row r="91" spans="1:21" x14ac:dyDescent="0.25">
      <c r="A91" t="s">
        <v>220</v>
      </c>
      <c r="B91" t="s">
        <v>95</v>
      </c>
      <c r="C91" s="1">
        <v>46032</v>
      </c>
      <c r="D91" t="s">
        <v>83</v>
      </c>
      <c r="E91" t="s">
        <v>34</v>
      </c>
      <c r="F91" t="s">
        <v>57</v>
      </c>
      <c r="G91" t="s">
        <v>71</v>
      </c>
      <c r="H91" t="s">
        <v>25</v>
      </c>
      <c r="I91" t="s">
        <v>26</v>
      </c>
      <c r="J91" t="s">
        <v>38</v>
      </c>
      <c r="K91" s="1"/>
      <c r="L91" t="s">
        <v>58</v>
      </c>
      <c r="M91" t="s">
        <v>59</v>
      </c>
      <c r="O91" t="s">
        <v>38</v>
      </c>
      <c r="T91" t="str">
        <f>IF(RecruitmentTable[[#This Row],[Final Status]]="In process","Screening",IF(RecruitmentTable[[#This Row],[Final Status]]="Selected","Offer","Rejected"))</f>
        <v>Screening</v>
      </c>
      <c r="U91">
        <f>IF(RecruitmentTable[[#This Row],[Final Status]]="Selected",1,0)</f>
        <v>0</v>
      </c>
    </row>
    <row r="92" spans="1:21" x14ac:dyDescent="0.25">
      <c r="A92" t="s">
        <v>221</v>
      </c>
      <c r="B92" t="s">
        <v>181</v>
      </c>
      <c r="C92" s="1">
        <v>46037</v>
      </c>
      <c r="D92" t="s">
        <v>21</v>
      </c>
      <c r="E92" t="s">
        <v>22</v>
      </c>
      <c r="F92" t="s">
        <v>57</v>
      </c>
      <c r="G92" t="s">
        <v>24</v>
      </c>
      <c r="H92" t="s">
        <v>44</v>
      </c>
      <c r="I92" t="s">
        <v>37</v>
      </c>
      <c r="J92" t="s">
        <v>38</v>
      </c>
      <c r="K92" s="1"/>
      <c r="L92" t="s">
        <v>38</v>
      </c>
      <c r="M92" t="s">
        <v>37</v>
      </c>
      <c r="O92" t="s">
        <v>38</v>
      </c>
      <c r="T92" t="str">
        <f>IF(RecruitmentTable[[#This Row],[Final Status]]="In process","Screening",IF(RecruitmentTable[[#This Row],[Final Status]]="Selected","Offer","Rejected"))</f>
        <v>Rejected</v>
      </c>
      <c r="U92">
        <f>IF(RecruitmentTable[[#This Row],[Final Status]]="Selected",1,0)</f>
        <v>0</v>
      </c>
    </row>
    <row r="93" spans="1:21" x14ac:dyDescent="0.25">
      <c r="A93" t="s">
        <v>222</v>
      </c>
      <c r="B93" t="s">
        <v>223</v>
      </c>
      <c r="C93" s="1">
        <v>46091</v>
      </c>
      <c r="D93" t="s">
        <v>21</v>
      </c>
      <c r="E93" t="s">
        <v>22</v>
      </c>
      <c r="F93" t="s">
        <v>43</v>
      </c>
      <c r="G93" t="s">
        <v>66</v>
      </c>
      <c r="H93" t="s">
        <v>51</v>
      </c>
      <c r="I93" t="s">
        <v>37</v>
      </c>
      <c r="J93" t="s">
        <v>38</v>
      </c>
      <c r="K93" s="1"/>
      <c r="L93" t="s">
        <v>38</v>
      </c>
      <c r="M93" t="s">
        <v>37</v>
      </c>
      <c r="O93" t="s">
        <v>38</v>
      </c>
      <c r="T93" t="str">
        <f>IF(RecruitmentTable[[#This Row],[Final Status]]="In process","Screening",IF(RecruitmentTable[[#This Row],[Final Status]]="Selected","Offer","Rejected"))</f>
        <v>Rejected</v>
      </c>
      <c r="U93">
        <f>IF(RecruitmentTable[[#This Row],[Final Status]]="Selected",1,0)</f>
        <v>0</v>
      </c>
    </row>
    <row r="94" spans="1:21" x14ac:dyDescent="0.25">
      <c r="A94" t="s">
        <v>224</v>
      </c>
      <c r="B94" t="s">
        <v>225</v>
      </c>
      <c r="C94" s="1">
        <v>46163</v>
      </c>
      <c r="D94" t="s">
        <v>41</v>
      </c>
      <c r="E94" t="s">
        <v>42</v>
      </c>
      <c r="F94" t="s">
        <v>57</v>
      </c>
      <c r="G94" t="s">
        <v>24</v>
      </c>
      <c r="H94" t="s">
        <v>44</v>
      </c>
      <c r="I94" t="s">
        <v>37</v>
      </c>
      <c r="J94" t="s">
        <v>38</v>
      </c>
      <c r="K94" s="1"/>
      <c r="L94" t="s">
        <v>38</v>
      </c>
      <c r="M94" t="s">
        <v>37</v>
      </c>
      <c r="O94" t="s">
        <v>38</v>
      </c>
      <c r="T94" t="str">
        <f>IF(RecruitmentTable[[#This Row],[Final Status]]="In process","Screening",IF(RecruitmentTable[[#This Row],[Final Status]]="Selected","Offer","Rejected"))</f>
        <v>Rejected</v>
      </c>
      <c r="U94">
        <f>IF(RecruitmentTable[[#This Row],[Final Status]]="Selected",1,0)</f>
        <v>0</v>
      </c>
    </row>
    <row r="95" spans="1:21" x14ac:dyDescent="0.25">
      <c r="A95" t="s">
        <v>226</v>
      </c>
      <c r="B95" t="s">
        <v>105</v>
      </c>
      <c r="C95" s="1">
        <v>46155</v>
      </c>
      <c r="D95" t="s">
        <v>33</v>
      </c>
      <c r="E95" t="s">
        <v>34</v>
      </c>
      <c r="F95" t="s">
        <v>57</v>
      </c>
      <c r="G95" t="s">
        <v>71</v>
      </c>
      <c r="H95" t="s">
        <v>44</v>
      </c>
      <c r="I95" t="s">
        <v>26</v>
      </c>
      <c r="J95" t="s">
        <v>27</v>
      </c>
      <c r="K95" s="1">
        <v>46169</v>
      </c>
      <c r="L95" t="s">
        <v>28</v>
      </c>
      <c r="M95" t="s">
        <v>29</v>
      </c>
      <c r="N95" s="1">
        <v>46171</v>
      </c>
      <c r="O95" t="s">
        <v>227</v>
      </c>
      <c r="Q95">
        <v>14</v>
      </c>
      <c r="R95">
        <v>2</v>
      </c>
      <c r="T95" t="str">
        <f>IF(RecruitmentTable[[#This Row],[Final Status]]="In process","Screening",IF(RecruitmentTable[[#This Row],[Final Status]]="Selected","Offer","Rejected"))</f>
        <v>Offer</v>
      </c>
      <c r="U95">
        <f>IF(RecruitmentTable[[#This Row],[Final Status]]="Selected",1,0)</f>
        <v>1</v>
      </c>
    </row>
    <row r="96" spans="1:21" x14ac:dyDescent="0.25">
      <c r="A96" t="s">
        <v>228</v>
      </c>
      <c r="B96" t="s">
        <v>229</v>
      </c>
      <c r="C96" s="1">
        <v>46132</v>
      </c>
      <c r="D96" t="s">
        <v>41</v>
      </c>
      <c r="E96" t="s">
        <v>42</v>
      </c>
      <c r="F96" t="s">
        <v>43</v>
      </c>
      <c r="G96" t="s">
        <v>47</v>
      </c>
      <c r="H96" t="s">
        <v>62</v>
      </c>
      <c r="I96" t="s">
        <v>37</v>
      </c>
      <c r="J96" t="s">
        <v>38</v>
      </c>
      <c r="K96" s="1"/>
      <c r="L96" t="s">
        <v>38</v>
      </c>
      <c r="M96" t="s">
        <v>37</v>
      </c>
      <c r="O96" t="s">
        <v>38</v>
      </c>
      <c r="T96" t="str">
        <f>IF(RecruitmentTable[[#This Row],[Final Status]]="In process","Screening",IF(RecruitmentTable[[#This Row],[Final Status]]="Selected","Offer","Rejected"))</f>
        <v>Rejected</v>
      </c>
      <c r="U96">
        <f>IF(RecruitmentTable[[#This Row],[Final Status]]="Selected",1,0)</f>
        <v>0</v>
      </c>
    </row>
    <row r="97" spans="1:21" x14ac:dyDescent="0.25">
      <c r="A97" t="s">
        <v>230</v>
      </c>
      <c r="B97" t="s">
        <v>231</v>
      </c>
      <c r="C97" s="1">
        <v>46159</v>
      </c>
      <c r="D97" t="s">
        <v>41</v>
      </c>
      <c r="E97" t="s">
        <v>42</v>
      </c>
      <c r="F97" t="s">
        <v>35</v>
      </c>
      <c r="G97" t="s">
        <v>71</v>
      </c>
      <c r="H97" t="s">
        <v>62</v>
      </c>
      <c r="I97" t="s">
        <v>26</v>
      </c>
      <c r="J97" t="s">
        <v>27</v>
      </c>
      <c r="K97" s="1">
        <v>46164</v>
      </c>
      <c r="L97" t="s">
        <v>28</v>
      </c>
      <c r="M97" t="s">
        <v>37</v>
      </c>
      <c r="O97" t="s">
        <v>38</v>
      </c>
      <c r="Q97">
        <v>5</v>
      </c>
      <c r="T97" t="str">
        <f>IF(RecruitmentTable[[#This Row],[Final Status]]="In process","Screening",IF(RecruitmentTable[[#This Row],[Final Status]]="Selected","Offer","Rejected"))</f>
        <v>Rejected</v>
      </c>
      <c r="U97">
        <f>IF(RecruitmentTable[[#This Row],[Final Status]]="Selected",1,0)</f>
        <v>0</v>
      </c>
    </row>
    <row r="98" spans="1:21" x14ac:dyDescent="0.25">
      <c r="A98" t="s">
        <v>232</v>
      </c>
      <c r="B98" t="s">
        <v>233</v>
      </c>
      <c r="C98" s="1">
        <v>46039</v>
      </c>
      <c r="D98" t="s">
        <v>65</v>
      </c>
      <c r="E98" t="s">
        <v>42</v>
      </c>
      <c r="F98" t="s">
        <v>100</v>
      </c>
      <c r="G98" t="s">
        <v>24</v>
      </c>
      <c r="H98" t="s">
        <v>72</v>
      </c>
      <c r="I98" t="s">
        <v>26</v>
      </c>
      <c r="J98" t="s">
        <v>27</v>
      </c>
      <c r="K98" s="1">
        <v>46043</v>
      </c>
      <c r="L98" t="s">
        <v>28</v>
      </c>
      <c r="M98" t="s">
        <v>37</v>
      </c>
      <c r="O98" t="s">
        <v>38</v>
      </c>
      <c r="Q98">
        <v>4</v>
      </c>
      <c r="T98" t="str">
        <f>IF(RecruitmentTable[[#This Row],[Final Status]]="In process","Screening",IF(RecruitmentTable[[#This Row],[Final Status]]="Selected","Offer","Rejected"))</f>
        <v>Rejected</v>
      </c>
      <c r="U98">
        <f>IF(RecruitmentTable[[#This Row],[Final Status]]="Selected",1,0)</f>
        <v>0</v>
      </c>
    </row>
    <row r="99" spans="1:21" x14ac:dyDescent="0.25">
      <c r="A99" t="s">
        <v>234</v>
      </c>
      <c r="B99" t="s">
        <v>235</v>
      </c>
      <c r="C99" s="1">
        <v>46176</v>
      </c>
      <c r="D99" t="s">
        <v>41</v>
      </c>
      <c r="E99" t="s">
        <v>42</v>
      </c>
      <c r="F99" t="s">
        <v>57</v>
      </c>
      <c r="G99" t="s">
        <v>71</v>
      </c>
      <c r="H99" t="s">
        <v>44</v>
      </c>
      <c r="I99" t="s">
        <v>26</v>
      </c>
      <c r="J99" t="s">
        <v>27</v>
      </c>
      <c r="K99" s="1">
        <v>46192</v>
      </c>
      <c r="L99" t="s">
        <v>28</v>
      </c>
      <c r="M99" t="s">
        <v>37</v>
      </c>
      <c r="O99" t="s">
        <v>38</v>
      </c>
      <c r="Q99">
        <v>16</v>
      </c>
      <c r="T99" t="str">
        <f>IF(RecruitmentTable[[#This Row],[Final Status]]="In process","Screening",IF(RecruitmentTable[[#This Row],[Final Status]]="Selected","Offer","Rejected"))</f>
        <v>Rejected</v>
      </c>
      <c r="U99">
        <f>IF(RecruitmentTable[[#This Row],[Final Status]]="Selected",1,0)</f>
        <v>0</v>
      </c>
    </row>
    <row r="100" spans="1:21" x14ac:dyDescent="0.25">
      <c r="A100" t="s">
        <v>236</v>
      </c>
      <c r="B100" t="s">
        <v>125</v>
      </c>
      <c r="C100" s="1">
        <v>46279</v>
      </c>
      <c r="D100" t="s">
        <v>56</v>
      </c>
      <c r="E100" t="s">
        <v>34</v>
      </c>
      <c r="F100" t="s">
        <v>43</v>
      </c>
      <c r="G100" t="s">
        <v>84</v>
      </c>
      <c r="H100" t="s">
        <v>62</v>
      </c>
      <c r="I100" t="s">
        <v>26</v>
      </c>
      <c r="J100" t="s">
        <v>27</v>
      </c>
      <c r="K100" s="1">
        <v>46295</v>
      </c>
      <c r="L100" t="s">
        <v>28</v>
      </c>
      <c r="M100" t="s">
        <v>37</v>
      </c>
      <c r="O100" t="s">
        <v>38</v>
      </c>
      <c r="Q100">
        <v>16</v>
      </c>
      <c r="T100" t="str">
        <f>IF(RecruitmentTable[[#This Row],[Final Status]]="In process","Screening",IF(RecruitmentTable[[#This Row],[Final Status]]="Selected","Offer","Rejected"))</f>
        <v>Rejected</v>
      </c>
      <c r="U100">
        <f>IF(RecruitmentTable[[#This Row],[Final Status]]="Selected",1,0)</f>
        <v>0</v>
      </c>
    </row>
    <row r="101" spans="1:21" x14ac:dyDescent="0.25">
      <c r="A101" t="s">
        <v>237</v>
      </c>
      <c r="B101" t="s">
        <v>238</v>
      </c>
      <c r="C101" s="1">
        <v>46041</v>
      </c>
      <c r="D101" t="s">
        <v>41</v>
      </c>
      <c r="E101" t="s">
        <v>42</v>
      </c>
      <c r="F101" t="s">
        <v>35</v>
      </c>
      <c r="G101" t="s">
        <v>71</v>
      </c>
      <c r="H101" t="s">
        <v>51</v>
      </c>
      <c r="I101" t="s">
        <v>26</v>
      </c>
      <c r="J101" t="s">
        <v>27</v>
      </c>
      <c r="K101" s="1">
        <v>46047</v>
      </c>
      <c r="L101" t="s">
        <v>28</v>
      </c>
      <c r="M101" t="s">
        <v>37</v>
      </c>
      <c r="O101" t="s">
        <v>38</v>
      </c>
      <c r="Q101">
        <v>6</v>
      </c>
      <c r="T101" t="str">
        <f>IF(RecruitmentTable[[#This Row],[Final Status]]="In process","Screening",IF(RecruitmentTable[[#This Row],[Final Status]]="Selected","Offer","Rejected"))</f>
        <v>Rejected</v>
      </c>
      <c r="U101">
        <f>IF(RecruitmentTable[[#This Row],[Final Status]]="Selected",1,0)</f>
        <v>0</v>
      </c>
    </row>
    <row r="102" spans="1:21" x14ac:dyDescent="0.25">
      <c r="A102" t="s">
        <v>239</v>
      </c>
      <c r="B102" t="s">
        <v>240</v>
      </c>
      <c r="C102" s="1">
        <v>46286</v>
      </c>
      <c r="D102" t="s">
        <v>33</v>
      </c>
      <c r="E102" t="s">
        <v>34</v>
      </c>
      <c r="F102" t="s">
        <v>43</v>
      </c>
      <c r="G102" t="s">
        <v>66</v>
      </c>
      <c r="H102" t="s">
        <v>51</v>
      </c>
      <c r="I102" t="s">
        <v>37</v>
      </c>
      <c r="J102" t="s">
        <v>38</v>
      </c>
      <c r="K102" s="1"/>
      <c r="L102" t="s">
        <v>38</v>
      </c>
      <c r="M102" t="s">
        <v>37</v>
      </c>
      <c r="O102" t="s">
        <v>38</v>
      </c>
      <c r="T102" t="str">
        <f>IF(RecruitmentTable[[#This Row],[Final Status]]="In process","Screening",IF(RecruitmentTable[[#This Row],[Final Status]]="Selected","Offer","Rejected"))</f>
        <v>Rejected</v>
      </c>
      <c r="U102">
        <f>IF(RecruitmentTable[[#This Row],[Final Status]]="Selected",1,0)</f>
        <v>0</v>
      </c>
    </row>
    <row r="103" spans="1:21" x14ac:dyDescent="0.25">
      <c r="A103" t="s">
        <v>241</v>
      </c>
      <c r="B103" t="s">
        <v>109</v>
      </c>
      <c r="C103" s="1">
        <v>46109</v>
      </c>
      <c r="D103" t="s">
        <v>33</v>
      </c>
      <c r="E103" t="s">
        <v>34</v>
      </c>
      <c r="F103" t="s">
        <v>100</v>
      </c>
      <c r="G103" t="s">
        <v>47</v>
      </c>
      <c r="H103" t="s">
        <v>72</v>
      </c>
      <c r="I103" t="s">
        <v>37</v>
      </c>
      <c r="J103" t="s">
        <v>38</v>
      </c>
      <c r="K103" s="1"/>
      <c r="L103" t="s">
        <v>38</v>
      </c>
      <c r="M103" t="s">
        <v>37</v>
      </c>
      <c r="O103" t="s">
        <v>38</v>
      </c>
      <c r="T103" t="str">
        <f>IF(RecruitmentTable[[#This Row],[Final Status]]="In process","Screening",IF(RecruitmentTable[[#This Row],[Final Status]]="Selected","Offer","Rejected"))</f>
        <v>Rejected</v>
      </c>
      <c r="U103">
        <f>IF(RecruitmentTable[[#This Row],[Final Status]]="Selected",1,0)</f>
        <v>0</v>
      </c>
    </row>
    <row r="104" spans="1:21" x14ac:dyDescent="0.25">
      <c r="A104" t="s">
        <v>242</v>
      </c>
      <c r="B104" t="s">
        <v>193</v>
      </c>
      <c r="C104" s="1">
        <v>46277</v>
      </c>
      <c r="D104" t="s">
        <v>41</v>
      </c>
      <c r="E104" t="s">
        <v>42</v>
      </c>
      <c r="F104" t="s">
        <v>23</v>
      </c>
      <c r="G104" t="s">
        <v>24</v>
      </c>
      <c r="H104" t="s">
        <v>62</v>
      </c>
      <c r="I104" t="s">
        <v>37</v>
      </c>
      <c r="J104" t="s">
        <v>38</v>
      </c>
      <c r="K104" s="1"/>
      <c r="L104" t="s">
        <v>38</v>
      </c>
      <c r="M104" t="s">
        <v>37</v>
      </c>
      <c r="O104" t="s">
        <v>38</v>
      </c>
      <c r="T104" t="str">
        <f>IF(RecruitmentTable[[#This Row],[Final Status]]="In process","Screening",IF(RecruitmentTable[[#This Row],[Final Status]]="Selected","Offer","Rejected"))</f>
        <v>Rejected</v>
      </c>
      <c r="U104">
        <f>IF(RecruitmentTable[[#This Row],[Final Status]]="Selected",1,0)</f>
        <v>0</v>
      </c>
    </row>
    <row r="105" spans="1:21" x14ac:dyDescent="0.25">
      <c r="A105" t="s">
        <v>243</v>
      </c>
      <c r="B105" t="s">
        <v>244</v>
      </c>
      <c r="C105" s="1">
        <v>46118</v>
      </c>
      <c r="D105" t="s">
        <v>33</v>
      </c>
      <c r="E105" t="s">
        <v>34</v>
      </c>
      <c r="F105" t="s">
        <v>23</v>
      </c>
      <c r="G105" t="s">
        <v>36</v>
      </c>
      <c r="H105" t="s">
        <v>44</v>
      </c>
      <c r="I105" t="s">
        <v>37</v>
      </c>
      <c r="J105" t="s">
        <v>38</v>
      </c>
      <c r="K105" s="1"/>
      <c r="L105" t="s">
        <v>38</v>
      </c>
      <c r="M105" t="s">
        <v>37</v>
      </c>
      <c r="O105" t="s">
        <v>38</v>
      </c>
      <c r="T105" t="str">
        <f>IF(RecruitmentTable[[#This Row],[Final Status]]="In process","Screening",IF(RecruitmentTable[[#This Row],[Final Status]]="Selected","Offer","Rejected"))</f>
        <v>Rejected</v>
      </c>
      <c r="U105">
        <f>IF(RecruitmentTable[[#This Row],[Final Status]]="Selected",1,0)</f>
        <v>0</v>
      </c>
    </row>
    <row r="106" spans="1:21" x14ac:dyDescent="0.25">
      <c r="A106" t="s">
        <v>245</v>
      </c>
      <c r="B106" t="s">
        <v>246</v>
      </c>
      <c r="C106" s="1">
        <v>46029</v>
      </c>
      <c r="D106" t="s">
        <v>65</v>
      </c>
      <c r="E106" t="s">
        <v>42</v>
      </c>
      <c r="F106" t="s">
        <v>23</v>
      </c>
      <c r="G106" t="s">
        <v>71</v>
      </c>
      <c r="H106" t="s">
        <v>25</v>
      </c>
      <c r="I106" t="s">
        <v>37</v>
      </c>
      <c r="J106" t="s">
        <v>38</v>
      </c>
      <c r="K106" s="1"/>
      <c r="L106" t="s">
        <v>38</v>
      </c>
      <c r="M106" t="s">
        <v>37</v>
      </c>
      <c r="O106" t="s">
        <v>38</v>
      </c>
      <c r="T106" t="str">
        <f>IF(RecruitmentTable[[#This Row],[Final Status]]="In process","Screening",IF(RecruitmentTable[[#This Row],[Final Status]]="Selected","Offer","Rejected"))</f>
        <v>Rejected</v>
      </c>
      <c r="U106">
        <f>IF(RecruitmentTable[[#This Row],[Final Status]]="Selected",1,0)</f>
        <v>0</v>
      </c>
    </row>
    <row r="107" spans="1:21" x14ac:dyDescent="0.25">
      <c r="A107" t="s">
        <v>247</v>
      </c>
      <c r="B107" t="s">
        <v>165</v>
      </c>
      <c r="C107" s="1">
        <v>46219</v>
      </c>
      <c r="D107" t="s">
        <v>56</v>
      </c>
      <c r="E107" t="s">
        <v>34</v>
      </c>
      <c r="F107" t="s">
        <v>43</v>
      </c>
      <c r="G107" t="s">
        <v>24</v>
      </c>
      <c r="H107" t="s">
        <v>44</v>
      </c>
      <c r="I107" t="s">
        <v>37</v>
      </c>
      <c r="J107" t="s">
        <v>38</v>
      </c>
      <c r="K107" s="1"/>
      <c r="L107" t="s">
        <v>38</v>
      </c>
      <c r="M107" t="s">
        <v>37</v>
      </c>
      <c r="O107" t="s">
        <v>38</v>
      </c>
      <c r="T107" t="str">
        <f>IF(RecruitmentTable[[#This Row],[Final Status]]="In process","Screening",IF(RecruitmentTable[[#This Row],[Final Status]]="Selected","Offer","Rejected"))</f>
        <v>Rejected</v>
      </c>
      <c r="U107">
        <f>IF(RecruitmentTable[[#This Row],[Final Status]]="Selected",1,0)</f>
        <v>0</v>
      </c>
    </row>
    <row r="108" spans="1:21" x14ac:dyDescent="0.25">
      <c r="A108" t="s">
        <v>248</v>
      </c>
      <c r="B108" t="s">
        <v>249</v>
      </c>
      <c r="C108" s="1">
        <v>46278</v>
      </c>
      <c r="D108" t="s">
        <v>65</v>
      </c>
      <c r="E108" t="s">
        <v>42</v>
      </c>
      <c r="F108" t="s">
        <v>57</v>
      </c>
      <c r="G108" t="s">
        <v>84</v>
      </c>
      <c r="H108" t="s">
        <v>44</v>
      </c>
      <c r="I108" t="s">
        <v>37</v>
      </c>
      <c r="J108" t="s">
        <v>38</v>
      </c>
      <c r="K108" s="1"/>
      <c r="L108" t="s">
        <v>38</v>
      </c>
      <c r="M108" t="s">
        <v>37</v>
      </c>
      <c r="O108" t="s">
        <v>38</v>
      </c>
      <c r="T108" t="str">
        <f>IF(RecruitmentTable[[#This Row],[Final Status]]="In process","Screening",IF(RecruitmentTable[[#This Row],[Final Status]]="Selected","Offer","Rejected"))</f>
        <v>Rejected</v>
      </c>
      <c r="U108">
        <f>IF(RecruitmentTable[[#This Row],[Final Status]]="Selected",1,0)</f>
        <v>0</v>
      </c>
    </row>
    <row r="109" spans="1:21" x14ac:dyDescent="0.25">
      <c r="A109" t="s">
        <v>250</v>
      </c>
      <c r="B109" t="s">
        <v>251</v>
      </c>
      <c r="C109" s="1">
        <v>46103</v>
      </c>
      <c r="D109" t="s">
        <v>33</v>
      </c>
      <c r="E109" t="s">
        <v>34</v>
      </c>
      <c r="F109" t="s">
        <v>100</v>
      </c>
      <c r="G109" t="s">
        <v>36</v>
      </c>
      <c r="H109" t="s">
        <v>72</v>
      </c>
      <c r="I109" t="s">
        <v>26</v>
      </c>
      <c r="J109" t="s">
        <v>27</v>
      </c>
      <c r="K109" s="1">
        <v>46108</v>
      </c>
      <c r="L109" t="s">
        <v>28</v>
      </c>
      <c r="M109" t="s">
        <v>37</v>
      </c>
      <c r="O109" t="s">
        <v>38</v>
      </c>
      <c r="Q109">
        <v>5</v>
      </c>
      <c r="T109" t="str">
        <f>IF(RecruitmentTable[[#This Row],[Final Status]]="In process","Screening",IF(RecruitmentTable[[#This Row],[Final Status]]="Selected","Offer","Rejected"))</f>
        <v>Rejected</v>
      </c>
      <c r="U109">
        <f>IF(RecruitmentTable[[#This Row],[Final Status]]="Selected",1,0)</f>
        <v>0</v>
      </c>
    </row>
    <row r="110" spans="1:21" x14ac:dyDescent="0.25">
      <c r="A110" t="s">
        <v>252</v>
      </c>
      <c r="B110" t="s">
        <v>253</v>
      </c>
      <c r="C110" s="1">
        <v>46223</v>
      </c>
      <c r="D110" t="s">
        <v>41</v>
      </c>
      <c r="E110" t="s">
        <v>42</v>
      </c>
      <c r="F110" t="s">
        <v>100</v>
      </c>
      <c r="G110" t="s">
        <v>47</v>
      </c>
      <c r="H110" t="s">
        <v>51</v>
      </c>
      <c r="I110" t="s">
        <v>37</v>
      </c>
      <c r="J110" t="s">
        <v>38</v>
      </c>
      <c r="K110" s="1"/>
      <c r="L110" t="s">
        <v>38</v>
      </c>
      <c r="M110" t="s">
        <v>37</v>
      </c>
      <c r="O110" t="s">
        <v>38</v>
      </c>
      <c r="T110" t="str">
        <f>IF(RecruitmentTable[[#This Row],[Final Status]]="In process","Screening",IF(RecruitmentTable[[#This Row],[Final Status]]="Selected","Offer","Rejected"))</f>
        <v>Rejected</v>
      </c>
      <c r="U110">
        <f>IF(RecruitmentTable[[#This Row],[Final Status]]="Selected",1,0)</f>
        <v>0</v>
      </c>
    </row>
    <row r="111" spans="1:21" x14ac:dyDescent="0.25">
      <c r="A111" t="s">
        <v>254</v>
      </c>
      <c r="B111" t="s">
        <v>255</v>
      </c>
      <c r="C111" s="1">
        <v>46097</v>
      </c>
      <c r="D111" t="s">
        <v>21</v>
      </c>
      <c r="E111" t="s">
        <v>22</v>
      </c>
      <c r="F111" t="s">
        <v>23</v>
      </c>
      <c r="G111" t="s">
        <v>36</v>
      </c>
      <c r="H111" t="s">
        <v>72</v>
      </c>
      <c r="I111" t="s">
        <v>26</v>
      </c>
      <c r="J111" t="s">
        <v>27</v>
      </c>
      <c r="K111" s="1">
        <v>46110</v>
      </c>
      <c r="L111" t="s">
        <v>28</v>
      </c>
      <c r="M111" t="s">
        <v>37</v>
      </c>
      <c r="O111" t="s">
        <v>38</v>
      </c>
      <c r="Q111">
        <v>13</v>
      </c>
      <c r="T111" t="str">
        <f>IF(RecruitmentTable[[#This Row],[Final Status]]="In process","Screening",IF(RecruitmentTable[[#This Row],[Final Status]]="Selected","Offer","Rejected"))</f>
        <v>Rejected</v>
      </c>
      <c r="U111">
        <f>IF(RecruitmentTable[[#This Row],[Final Status]]="Selected",1,0)</f>
        <v>0</v>
      </c>
    </row>
    <row r="112" spans="1:21" x14ac:dyDescent="0.25">
      <c r="A112" t="s">
        <v>256</v>
      </c>
      <c r="B112" t="s">
        <v>257</v>
      </c>
      <c r="C112" s="1">
        <v>46139</v>
      </c>
      <c r="D112" t="s">
        <v>41</v>
      </c>
      <c r="E112" t="s">
        <v>42</v>
      </c>
      <c r="F112" t="s">
        <v>100</v>
      </c>
      <c r="G112" t="s">
        <v>24</v>
      </c>
      <c r="H112" t="s">
        <v>62</v>
      </c>
      <c r="I112" t="s">
        <v>37</v>
      </c>
      <c r="J112" t="s">
        <v>38</v>
      </c>
      <c r="K112" s="1"/>
      <c r="L112" t="s">
        <v>38</v>
      </c>
      <c r="M112" t="s">
        <v>37</v>
      </c>
      <c r="O112" t="s">
        <v>38</v>
      </c>
      <c r="T112" t="str">
        <f>IF(RecruitmentTable[[#This Row],[Final Status]]="In process","Screening",IF(RecruitmentTable[[#This Row],[Final Status]]="Selected","Offer","Rejected"))</f>
        <v>Rejected</v>
      </c>
      <c r="U112">
        <f>IF(RecruitmentTable[[#This Row],[Final Status]]="Selected",1,0)</f>
        <v>0</v>
      </c>
    </row>
    <row r="113" spans="1:21" x14ac:dyDescent="0.25">
      <c r="A113" t="s">
        <v>258</v>
      </c>
      <c r="B113" t="s">
        <v>259</v>
      </c>
      <c r="C113" s="1">
        <v>46195</v>
      </c>
      <c r="D113" t="s">
        <v>21</v>
      </c>
      <c r="E113" t="s">
        <v>22</v>
      </c>
      <c r="F113" t="s">
        <v>23</v>
      </c>
      <c r="G113" t="s">
        <v>84</v>
      </c>
      <c r="H113" t="s">
        <v>51</v>
      </c>
      <c r="I113" t="s">
        <v>26</v>
      </c>
      <c r="J113" t="s">
        <v>38</v>
      </c>
      <c r="K113" s="1"/>
      <c r="L113" t="s">
        <v>58</v>
      </c>
      <c r="M113" t="s">
        <v>59</v>
      </c>
      <c r="O113" t="s">
        <v>38</v>
      </c>
      <c r="T113" t="str">
        <f>IF(RecruitmentTable[[#This Row],[Final Status]]="In process","Screening",IF(RecruitmentTable[[#This Row],[Final Status]]="Selected","Offer","Rejected"))</f>
        <v>Screening</v>
      </c>
      <c r="U113">
        <f>IF(RecruitmentTable[[#This Row],[Final Status]]="Selected",1,0)</f>
        <v>0</v>
      </c>
    </row>
    <row r="114" spans="1:21" x14ac:dyDescent="0.25">
      <c r="A114" t="s">
        <v>260</v>
      </c>
      <c r="B114" t="s">
        <v>261</v>
      </c>
      <c r="C114" s="1">
        <v>46051</v>
      </c>
      <c r="D114" t="s">
        <v>83</v>
      </c>
      <c r="E114" t="s">
        <v>34</v>
      </c>
      <c r="F114" t="s">
        <v>43</v>
      </c>
      <c r="G114" t="s">
        <v>84</v>
      </c>
      <c r="H114" t="s">
        <v>72</v>
      </c>
      <c r="I114" t="s">
        <v>37</v>
      </c>
      <c r="J114" t="s">
        <v>38</v>
      </c>
      <c r="K114" s="1"/>
      <c r="L114" t="s">
        <v>38</v>
      </c>
      <c r="M114" t="s">
        <v>37</v>
      </c>
      <c r="O114" t="s">
        <v>38</v>
      </c>
      <c r="T114" t="str">
        <f>IF(RecruitmentTable[[#This Row],[Final Status]]="In process","Screening",IF(RecruitmentTable[[#This Row],[Final Status]]="Selected","Offer","Rejected"))</f>
        <v>Rejected</v>
      </c>
      <c r="U114">
        <f>IF(RecruitmentTable[[#This Row],[Final Status]]="Selected",1,0)</f>
        <v>0</v>
      </c>
    </row>
    <row r="115" spans="1:21" x14ac:dyDescent="0.25">
      <c r="A115" t="s">
        <v>262</v>
      </c>
      <c r="B115" t="s">
        <v>263</v>
      </c>
      <c r="C115" s="1">
        <v>46120</v>
      </c>
      <c r="D115" t="s">
        <v>83</v>
      </c>
      <c r="E115" t="s">
        <v>34</v>
      </c>
      <c r="F115" t="s">
        <v>57</v>
      </c>
      <c r="G115" t="s">
        <v>66</v>
      </c>
      <c r="H115" t="s">
        <v>72</v>
      </c>
      <c r="I115" t="s">
        <v>26</v>
      </c>
      <c r="J115" t="s">
        <v>27</v>
      </c>
      <c r="K115" s="1">
        <v>46134</v>
      </c>
      <c r="L115" t="s">
        <v>28</v>
      </c>
      <c r="M115" t="s">
        <v>29</v>
      </c>
      <c r="N115" s="1">
        <v>46140</v>
      </c>
      <c r="O115" t="s">
        <v>227</v>
      </c>
      <c r="Q115">
        <v>14</v>
      </c>
      <c r="R115">
        <v>6</v>
      </c>
      <c r="T115" t="str">
        <f>IF(RecruitmentTable[[#This Row],[Final Status]]="In process","Screening",IF(RecruitmentTable[[#This Row],[Final Status]]="Selected","Offer","Rejected"))</f>
        <v>Offer</v>
      </c>
      <c r="U115">
        <f>IF(RecruitmentTable[[#This Row],[Final Status]]="Selected",1,0)</f>
        <v>1</v>
      </c>
    </row>
    <row r="116" spans="1:21" x14ac:dyDescent="0.25">
      <c r="A116" t="s">
        <v>264</v>
      </c>
      <c r="B116" t="s">
        <v>129</v>
      </c>
      <c r="C116" s="1">
        <v>46223</v>
      </c>
      <c r="D116" t="s">
        <v>21</v>
      </c>
      <c r="E116" t="s">
        <v>22</v>
      </c>
      <c r="F116" t="s">
        <v>57</v>
      </c>
      <c r="G116" t="s">
        <v>24</v>
      </c>
      <c r="H116" t="s">
        <v>72</v>
      </c>
      <c r="I116" t="s">
        <v>26</v>
      </c>
      <c r="J116" t="s">
        <v>38</v>
      </c>
      <c r="K116" s="1"/>
      <c r="L116" t="s">
        <v>58</v>
      </c>
      <c r="M116" t="s">
        <v>59</v>
      </c>
      <c r="O116" t="s">
        <v>38</v>
      </c>
      <c r="T116" t="str">
        <f>IF(RecruitmentTable[[#This Row],[Final Status]]="In process","Screening",IF(RecruitmentTable[[#This Row],[Final Status]]="Selected","Offer","Rejected"))</f>
        <v>Screening</v>
      </c>
      <c r="U116">
        <f>IF(RecruitmentTable[[#This Row],[Final Status]]="Selected",1,0)</f>
        <v>0</v>
      </c>
    </row>
    <row r="117" spans="1:21" x14ac:dyDescent="0.25">
      <c r="A117" t="s">
        <v>265</v>
      </c>
      <c r="B117" t="s">
        <v>266</v>
      </c>
      <c r="C117" s="1">
        <v>46047</v>
      </c>
      <c r="D117" t="s">
        <v>56</v>
      </c>
      <c r="E117" t="s">
        <v>34</v>
      </c>
      <c r="F117" t="s">
        <v>23</v>
      </c>
      <c r="G117" t="s">
        <v>47</v>
      </c>
      <c r="H117" t="s">
        <v>44</v>
      </c>
      <c r="I117" t="s">
        <v>37</v>
      </c>
      <c r="J117" t="s">
        <v>38</v>
      </c>
      <c r="K117" s="1"/>
      <c r="L117" t="s">
        <v>38</v>
      </c>
      <c r="M117" t="s">
        <v>37</v>
      </c>
      <c r="O117" t="s">
        <v>38</v>
      </c>
      <c r="T117" t="str">
        <f>IF(RecruitmentTable[[#This Row],[Final Status]]="In process","Screening",IF(RecruitmentTable[[#This Row],[Final Status]]="Selected","Offer","Rejected"))</f>
        <v>Rejected</v>
      </c>
      <c r="U117">
        <f>IF(RecruitmentTable[[#This Row],[Final Status]]="Selected",1,0)</f>
        <v>0</v>
      </c>
    </row>
    <row r="118" spans="1:21" x14ac:dyDescent="0.25">
      <c r="A118" t="s">
        <v>267</v>
      </c>
      <c r="B118" t="s">
        <v>268</v>
      </c>
      <c r="C118" s="1">
        <v>46034</v>
      </c>
      <c r="D118" t="s">
        <v>56</v>
      </c>
      <c r="E118" t="s">
        <v>34</v>
      </c>
      <c r="F118" t="s">
        <v>100</v>
      </c>
      <c r="G118" t="s">
        <v>24</v>
      </c>
      <c r="H118" t="s">
        <v>25</v>
      </c>
      <c r="I118" t="s">
        <v>37</v>
      </c>
      <c r="J118" t="s">
        <v>38</v>
      </c>
      <c r="K118" s="1"/>
      <c r="L118" t="s">
        <v>38</v>
      </c>
      <c r="M118" t="s">
        <v>37</v>
      </c>
      <c r="O118" t="s">
        <v>38</v>
      </c>
      <c r="T118" t="str">
        <f>IF(RecruitmentTable[[#This Row],[Final Status]]="In process","Screening",IF(RecruitmentTable[[#This Row],[Final Status]]="Selected","Offer","Rejected"))</f>
        <v>Rejected</v>
      </c>
      <c r="U118">
        <f>IF(RecruitmentTable[[#This Row],[Final Status]]="Selected",1,0)</f>
        <v>0</v>
      </c>
    </row>
    <row r="119" spans="1:21" x14ac:dyDescent="0.25">
      <c r="A119" t="s">
        <v>269</v>
      </c>
      <c r="B119" t="s">
        <v>165</v>
      </c>
      <c r="C119" s="1">
        <v>46034</v>
      </c>
      <c r="D119" t="s">
        <v>65</v>
      </c>
      <c r="E119" t="s">
        <v>42</v>
      </c>
      <c r="F119" t="s">
        <v>50</v>
      </c>
      <c r="G119" t="s">
        <v>47</v>
      </c>
      <c r="H119" t="s">
        <v>25</v>
      </c>
      <c r="I119" t="s">
        <v>37</v>
      </c>
      <c r="J119" t="s">
        <v>38</v>
      </c>
      <c r="K119" s="1"/>
      <c r="L119" t="s">
        <v>38</v>
      </c>
      <c r="M119" t="s">
        <v>37</v>
      </c>
      <c r="O119" t="s">
        <v>38</v>
      </c>
      <c r="T119" t="str">
        <f>IF(RecruitmentTable[[#This Row],[Final Status]]="In process","Screening",IF(RecruitmentTable[[#This Row],[Final Status]]="Selected","Offer","Rejected"))</f>
        <v>Rejected</v>
      </c>
      <c r="U119">
        <f>IF(RecruitmentTable[[#This Row],[Final Status]]="Selected",1,0)</f>
        <v>0</v>
      </c>
    </row>
    <row r="120" spans="1:21" x14ac:dyDescent="0.25">
      <c r="A120" t="s">
        <v>270</v>
      </c>
      <c r="B120" t="s">
        <v>211</v>
      </c>
      <c r="C120" s="1">
        <v>46220</v>
      </c>
      <c r="D120" t="s">
        <v>33</v>
      </c>
      <c r="E120" t="s">
        <v>34</v>
      </c>
      <c r="F120" t="s">
        <v>50</v>
      </c>
      <c r="G120" t="s">
        <v>47</v>
      </c>
      <c r="H120" t="s">
        <v>62</v>
      </c>
      <c r="I120" t="s">
        <v>37</v>
      </c>
      <c r="J120" t="s">
        <v>38</v>
      </c>
      <c r="K120" s="1"/>
      <c r="L120" t="s">
        <v>38</v>
      </c>
      <c r="M120" t="s">
        <v>37</v>
      </c>
      <c r="O120" t="s">
        <v>38</v>
      </c>
      <c r="T120" t="str">
        <f>IF(RecruitmentTable[[#This Row],[Final Status]]="In process","Screening",IF(RecruitmentTable[[#This Row],[Final Status]]="Selected","Offer","Rejected"))</f>
        <v>Rejected</v>
      </c>
      <c r="U120">
        <f>IF(RecruitmentTable[[#This Row],[Final Status]]="Selected",1,0)</f>
        <v>0</v>
      </c>
    </row>
    <row r="121" spans="1:21" x14ac:dyDescent="0.25">
      <c r="A121" t="s">
        <v>271</v>
      </c>
      <c r="B121" t="s">
        <v>244</v>
      </c>
      <c r="C121" s="1">
        <v>46069</v>
      </c>
      <c r="D121" t="s">
        <v>41</v>
      </c>
      <c r="E121" t="s">
        <v>42</v>
      </c>
      <c r="F121" t="s">
        <v>100</v>
      </c>
      <c r="G121" t="s">
        <v>36</v>
      </c>
      <c r="H121" t="s">
        <v>51</v>
      </c>
      <c r="I121" t="s">
        <v>26</v>
      </c>
      <c r="J121" t="s">
        <v>38</v>
      </c>
      <c r="K121" s="1"/>
      <c r="L121" t="s">
        <v>58</v>
      </c>
      <c r="M121" t="s">
        <v>59</v>
      </c>
      <c r="O121" t="s">
        <v>38</v>
      </c>
      <c r="T121" t="str">
        <f>IF(RecruitmentTable[[#This Row],[Final Status]]="In process","Screening",IF(RecruitmentTable[[#This Row],[Final Status]]="Selected","Offer","Rejected"))</f>
        <v>Screening</v>
      </c>
      <c r="U121">
        <f>IF(RecruitmentTable[[#This Row],[Final Status]]="Selected",1,0)</f>
        <v>0</v>
      </c>
    </row>
    <row r="122" spans="1:21" x14ac:dyDescent="0.25">
      <c r="A122" t="s">
        <v>272</v>
      </c>
      <c r="B122" t="s">
        <v>273</v>
      </c>
      <c r="C122" s="1">
        <v>46139</v>
      </c>
      <c r="D122" t="s">
        <v>21</v>
      </c>
      <c r="E122" t="s">
        <v>22</v>
      </c>
      <c r="F122" t="s">
        <v>57</v>
      </c>
      <c r="G122" t="s">
        <v>24</v>
      </c>
      <c r="H122" t="s">
        <v>62</v>
      </c>
      <c r="I122" t="s">
        <v>37</v>
      </c>
      <c r="J122" t="s">
        <v>38</v>
      </c>
      <c r="K122" s="1"/>
      <c r="L122" t="s">
        <v>38</v>
      </c>
      <c r="M122" t="s">
        <v>37</v>
      </c>
      <c r="O122" t="s">
        <v>38</v>
      </c>
      <c r="T122" t="str">
        <f>IF(RecruitmentTable[[#This Row],[Final Status]]="In process","Screening",IF(RecruitmentTable[[#This Row],[Final Status]]="Selected","Offer","Rejected"))</f>
        <v>Rejected</v>
      </c>
      <c r="U122">
        <f>IF(RecruitmentTable[[#This Row],[Final Status]]="Selected",1,0)</f>
        <v>0</v>
      </c>
    </row>
    <row r="123" spans="1:21" x14ac:dyDescent="0.25">
      <c r="A123" t="s">
        <v>274</v>
      </c>
      <c r="B123" t="s">
        <v>200</v>
      </c>
      <c r="C123" s="1">
        <v>46125</v>
      </c>
      <c r="D123" t="s">
        <v>41</v>
      </c>
      <c r="E123" t="s">
        <v>42</v>
      </c>
      <c r="F123" t="s">
        <v>57</v>
      </c>
      <c r="G123" t="s">
        <v>36</v>
      </c>
      <c r="H123" t="s">
        <v>44</v>
      </c>
      <c r="I123" t="s">
        <v>26</v>
      </c>
      <c r="J123" t="s">
        <v>38</v>
      </c>
      <c r="K123" s="1"/>
      <c r="L123" t="s">
        <v>58</v>
      </c>
      <c r="M123" t="s">
        <v>59</v>
      </c>
      <c r="O123" t="s">
        <v>38</v>
      </c>
      <c r="T123" t="str">
        <f>IF(RecruitmentTable[[#This Row],[Final Status]]="In process","Screening",IF(RecruitmentTable[[#This Row],[Final Status]]="Selected","Offer","Rejected"))</f>
        <v>Screening</v>
      </c>
      <c r="U123">
        <f>IF(RecruitmentTable[[#This Row],[Final Status]]="Selected",1,0)</f>
        <v>0</v>
      </c>
    </row>
    <row r="124" spans="1:21" x14ac:dyDescent="0.25">
      <c r="A124" t="s">
        <v>275</v>
      </c>
      <c r="B124" t="s">
        <v>276</v>
      </c>
      <c r="C124" s="1">
        <v>46205</v>
      </c>
      <c r="D124" t="s">
        <v>83</v>
      </c>
      <c r="E124" t="s">
        <v>34</v>
      </c>
      <c r="F124" t="s">
        <v>23</v>
      </c>
      <c r="G124" t="s">
        <v>36</v>
      </c>
      <c r="H124" t="s">
        <v>44</v>
      </c>
      <c r="I124" t="s">
        <v>37</v>
      </c>
      <c r="J124" t="s">
        <v>38</v>
      </c>
      <c r="K124" s="1"/>
      <c r="L124" t="s">
        <v>38</v>
      </c>
      <c r="M124" t="s">
        <v>37</v>
      </c>
      <c r="O124" t="s">
        <v>38</v>
      </c>
      <c r="T124" t="str">
        <f>IF(RecruitmentTable[[#This Row],[Final Status]]="In process","Screening",IF(RecruitmentTable[[#This Row],[Final Status]]="Selected","Offer","Rejected"))</f>
        <v>Rejected</v>
      </c>
      <c r="U124">
        <f>IF(RecruitmentTable[[#This Row],[Final Status]]="Selected",1,0)</f>
        <v>0</v>
      </c>
    </row>
    <row r="125" spans="1:21" x14ac:dyDescent="0.25">
      <c r="A125" t="s">
        <v>277</v>
      </c>
      <c r="B125" t="s">
        <v>278</v>
      </c>
      <c r="C125" s="1">
        <v>46183</v>
      </c>
      <c r="D125" t="s">
        <v>33</v>
      </c>
      <c r="E125" t="s">
        <v>34</v>
      </c>
      <c r="F125" t="s">
        <v>57</v>
      </c>
      <c r="G125" t="s">
        <v>36</v>
      </c>
      <c r="H125" t="s">
        <v>62</v>
      </c>
      <c r="I125" t="s">
        <v>37</v>
      </c>
      <c r="J125" t="s">
        <v>38</v>
      </c>
      <c r="K125" s="1"/>
      <c r="L125" t="s">
        <v>38</v>
      </c>
      <c r="M125" t="s">
        <v>37</v>
      </c>
      <c r="O125" t="s">
        <v>38</v>
      </c>
      <c r="T125" t="str">
        <f>IF(RecruitmentTable[[#This Row],[Final Status]]="In process","Screening",IF(RecruitmentTable[[#This Row],[Final Status]]="Selected","Offer","Rejected"))</f>
        <v>Rejected</v>
      </c>
      <c r="U125">
        <f>IF(RecruitmentTable[[#This Row],[Final Status]]="Selected",1,0)</f>
        <v>0</v>
      </c>
    </row>
    <row r="126" spans="1:21" x14ac:dyDescent="0.25">
      <c r="A126" t="s">
        <v>279</v>
      </c>
      <c r="B126" t="s">
        <v>280</v>
      </c>
      <c r="C126" s="1">
        <v>46118</v>
      </c>
      <c r="D126" t="s">
        <v>21</v>
      </c>
      <c r="E126" t="s">
        <v>22</v>
      </c>
      <c r="F126" t="s">
        <v>43</v>
      </c>
      <c r="G126" t="s">
        <v>66</v>
      </c>
      <c r="H126" t="s">
        <v>72</v>
      </c>
      <c r="I126" t="s">
        <v>26</v>
      </c>
      <c r="J126" t="s">
        <v>27</v>
      </c>
      <c r="K126" s="1">
        <v>46129</v>
      </c>
      <c r="L126" t="s">
        <v>28</v>
      </c>
      <c r="M126" t="s">
        <v>37</v>
      </c>
      <c r="O126" t="s">
        <v>38</v>
      </c>
      <c r="Q126">
        <v>11</v>
      </c>
      <c r="T126" t="str">
        <f>IF(RecruitmentTable[[#This Row],[Final Status]]="In process","Screening",IF(RecruitmentTable[[#This Row],[Final Status]]="Selected","Offer","Rejected"))</f>
        <v>Rejected</v>
      </c>
      <c r="U126">
        <f>IF(RecruitmentTable[[#This Row],[Final Status]]="Selected",1,0)</f>
        <v>0</v>
      </c>
    </row>
    <row r="127" spans="1:21" x14ac:dyDescent="0.25">
      <c r="A127" t="s">
        <v>281</v>
      </c>
      <c r="B127" t="s">
        <v>282</v>
      </c>
      <c r="C127" s="1">
        <v>46288</v>
      </c>
      <c r="D127" t="s">
        <v>41</v>
      </c>
      <c r="E127" t="s">
        <v>42</v>
      </c>
      <c r="F127" t="s">
        <v>35</v>
      </c>
      <c r="G127" t="s">
        <v>84</v>
      </c>
      <c r="H127" t="s">
        <v>72</v>
      </c>
      <c r="I127" t="s">
        <v>26</v>
      </c>
      <c r="J127" t="s">
        <v>27</v>
      </c>
      <c r="K127" s="1">
        <v>46305</v>
      </c>
      <c r="L127" t="s">
        <v>28</v>
      </c>
      <c r="M127" t="s">
        <v>37</v>
      </c>
      <c r="O127" t="s">
        <v>38</v>
      </c>
      <c r="Q127">
        <v>17</v>
      </c>
      <c r="T127" t="str">
        <f>IF(RecruitmentTable[[#This Row],[Final Status]]="In process","Screening",IF(RecruitmentTable[[#This Row],[Final Status]]="Selected","Offer","Rejected"))</f>
        <v>Rejected</v>
      </c>
      <c r="U127">
        <f>IF(RecruitmentTable[[#This Row],[Final Status]]="Selected",1,0)</f>
        <v>0</v>
      </c>
    </row>
    <row r="128" spans="1:21" x14ac:dyDescent="0.25">
      <c r="A128" t="s">
        <v>283</v>
      </c>
      <c r="B128" t="s">
        <v>284</v>
      </c>
      <c r="C128" s="1">
        <v>46168</v>
      </c>
      <c r="D128" t="s">
        <v>56</v>
      </c>
      <c r="E128" t="s">
        <v>34</v>
      </c>
      <c r="F128" t="s">
        <v>57</v>
      </c>
      <c r="G128" t="s">
        <v>24</v>
      </c>
      <c r="H128" t="s">
        <v>72</v>
      </c>
      <c r="I128" t="s">
        <v>26</v>
      </c>
      <c r="J128" t="s">
        <v>27</v>
      </c>
      <c r="K128" s="1">
        <v>46176</v>
      </c>
      <c r="L128" t="s">
        <v>28</v>
      </c>
      <c r="M128" t="s">
        <v>29</v>
      </c>
      <c r="O128" t="s">
        <v>38</v>
      </c>
      <c r="Q128">
        <v>8</v>
      </c>
      <c r="T128" t="str">
        <f>IF(RecruitmentTable[[#This Row],[Final Status]]="In process","Screening",IF(RecruitmentTable[[#This Row],[Final Status]]="Selected","Offer","Rejected"))</f>
        <v>Offer</v>
      </c>
      <c r="U128">
        <f>IF(RecruitmentTable[[#This Row],[Final Status]]="Selected",1,0)</f>
        <v>1</v>
      </c>
    </row>
    <row r="129" spans="1:21" x14ac:dyDescent="0.25">
      <c r="A129" t="s">
        <v>285</v>
      </c>
      <c r="B129" t="s">
        <v>286</v>
      </c>
      <c r="C129" s="1">
        <v>46220</v>
      </c>
      <c r="D129" t="s">
        <v>33</v>
      </c>
      <c r="E129" t="s">
        <v>34</v>
      </c>
      <c r="F129" t="s">
        <v>35</v>
      </c>
      <c r="G129" t="s">
        <v>47</v>
      </c>
      <c r="H129" t="s">
        <v>25</v>
      </c>
      <c r="I129" t="s">
        <v>37</v>
      </c>
      <c r="J129" t="s">
        <v>38</v>
      </c>
      <c r="K129" s="1"/>
      <c r="L129" t="s">
        <v>38</v>
      </c>
      <c r="M129" t="s">
        <v>37</v>
      </c>
      <c r="O129" t="s">
        <v>38</v>
      </c>
      <c r="T129" t="str">
        <f>IF(RecruitmentTable[[#This Row],[Final Status]]="In process","Screening",IF(RecruitmentTable[[#This Row],[Final Status]]="Selected","Offer","Rejected"))</f>
        <v>Rejected</v>
      </c>
      <c r="U129">
        <f>IF(RecruitmentTable[[#This Row],[Final Status]]="Selected",1,0)</f>
        <v>0</v>
      </c>
    </row>
    <row r="130" spans="1:21" x14ac:dyDescent="0.25">
      <c r="A130" t="s">
        <v>287</v>
      </c>
      <c r="B130" t="s">
        <v>183</v>
      </c>
      <c r="C130" s="1">
        <v>46282</v>
      </c>
      <c r="D130" t="s">
        <v>56</v>
      </c>
      <c r="E130" t="s">
        <v>34</v>
      </c>
      <c r="F130" t="s">
        <v>50</v>
      </c>
      <c r="G130" t="s">
        <v>66</v>
      </c>
      <c r="H130" t="s">
        <v>25</v>
      </c>
      <c r="I130" t="s">
        <v>37</v>
      </c>
      <c r="J130" t="s">
        <v>38</v>
      </c>
      <c r="K130" s="1"/>
      <c r="L130" t="s">
        <v>38</v>
      </c>
      <c r="M130" t="s">
        <v>37</v>
      </c>
      <c r="O130" t="s">
        <v>38</v>
      </c>
      <c r="T130" t="str">
        <f>IF(RecruitmentTable[[#This Row],[Final Status]]="In process","Screening",IF(RecruitmentTable[[#This Row],[Final Status]]="Selected","Offer","Rejected"))</f>
        <v>Rejected</v>
      </c>
      <c r="U130">
        <f>IF(RecruitmentTable[[#This Row],[Final Status]]="Selected",1,0)</f>
        <v>0</v>
      </c>
    </row>
    <row r="131" spans="1:21" x14ac:dyDescent="0.25">
      <c r="A131" t="s">
        <v>288</v>
      </c>
      <c r="B131" t="s">
        <v>289</v>
      </c>
      <c r="C131" s="1">
        <v>46129</v>
      </c>
      <c r="D131" t="s">
        <v>41</v>
      </c>
      <c r="E131" t="s">
        <v>42</v>
      </c>
      <c r="F131" t="s">
        <v>57</v>
      </c>
      <c r="G131" t="s">
        <v>24</v>
      </c>
      <c r="H131" t="s">
        <v>62</v>
      </c>
      <c r="I131" t="s">
        <v>37</v>
      </c>
      <c r="J131" t="s">
        <v>38</v>
      </c>
      <c r="K131" s="1"/>
      <c r="L131" t="s">
        <v>38</v>
      </c>
      <c r="M131" t="s">
        <v>37</v>
      </c>
      <c r="O131" t="s">
        <v>38</v>
      </c>
      <c r="T131" t="str">
        <f>IF(RecruitmentTable[[#This Row],[Final Status]]="In process","Screening",IF(RecruitmentTable[[#This Row],[Final Status]]="Selected","Offer","Rejected"))</f>
        <v>Rejected</v>
      </c>
      <c r="U131">
        <f>IF(RecruitmentTable[[#This Row],[Final Status]]="Selected",1,0)</f>
        <v>0</v>
      </c>
    </row>
    <row r="132" spans="1:21" x14ac:dyDescent="0.25">
      <c r="A132" t="s">
        <v>290</v>
      </c>
      <c r="B132" t="s">
        <v>167</v>
      </c>
      <c r="C132" s="1">
        <v>46076</v>
      </c>
      <c r="D132" t="s">
        <v>33</v>
      </c>
      <c r="E132" t="s">
        <v>34</v>
      </c>
      <c r="F132" t="s">
        <v>100</v>
      </c>
      <c r="G132" t="s">
        <v>47</v>
      </c>
      <c r="H132" t="s">
        <v>51</v>
      </c>
      <c r="I132" t="s">
        <v>26</v>
      </c>
      <c r="J132" t="s">
        <v>27</v>
      </c>
      <c r="K132" s="1">
        <v>46081</v>
      </c>
      <c r="L132" t="s">
        <v>28</v>
      </c>
      <c r="M132" t="s">
        <v>37</v>
      </c>
      <c r="O132" t="s">
        <v>38</v>
      </c>
      <c r="Q132">
        <v>5</v>
      </c>
      <c r="T132" t="str">
        <f>IF(RecruitmentTable[[#This Row],[Final Status]]="In process","Screening",IF(RecruitmentTable[[#This Row],[Final Status]]="Selected","Offer","Rejected"))</f>
        <v>Rejected</v>
      </c>
      <c r="U132">
        <f>IF(RecruitmentTable[[#This Row],[Final Status]]="Selected",1,0)</f>
        <v>0</v>
      </c>
    </row>
    <row r="133" spans="1:21" x14ac:dyDescent="0.25">
      <c r="A133" t="s">
        <v>291</v>
      </c>
      <c r="B133" t="s">
        <v>105</v>
      </c>
      <c r="C133" s="1">
        <v>46025</v>
      </c>
      <c r="D133" t="s">
        <v>21</v>
      </c>
      <c r="E133" t="s">
        <v>22</v>
      </c>
      <c r="F133" t="s">
        <v>57</v>
      </c>
      <c r="G133" t="s">
        <v>24</v>
      </c>
      <c r="H133" t="s">
        <v>72</v>
      </c>
      <c r="I133" t="s">
        <v>37</v>
      </c>
      <c r="J133" t="s">
        <v>38</v>
      </c>
      <c r="K133" s="1"/>
      <c r="L133" t="s">
        <v>38</v>
      </c>
      <c r="M133" t="s">
        <v>37</v>
      </c>
      <c r="O133" t="s">
        <v>38</v>
      </c>
      <c r="T133" t="str">
        <f>IF(RecruitmentTable[[#This Row],[Final Status]]="In process","Screening",IF(RecruitmentTable[[#This Row],[Final Status]]="Selected","Offer","Rejected"))</f>
        <v>Rejected</v>
      </c>
      <c r="U133">
        <f>IF(RecruitmentTable[[#This Row],[Final Status]]="Selected",1,0)</f>
        <v>0</v>
      </c>
    </row>
    <row r="134" spans="1:21" x14ac:dyDescent="0.25">
      <c r="A134" t="s">
        <v>292</v>
      </c>
      <c r="B134" t="s">
        <v>240</v>
      </c>
      <c r="C134" s="1">
        <v>46120</v>
      </c>
      <c r="D134" t="s">
        <v>83</v>
      </c>
      <c r="E134" t="s">
        <v>34</v>
      </c>
      <c r="F134" t="s">
        <v>57</v>
      </c>
      <c r="G134" t="s">
        <v>84</v>
      </c>
      <c r="H134" t="s">
        <v>25</v>
      </c>
      <c r="I134" t="s">
        <v>37</v>
      </c>
      <c r="J134" t="s">
        <v>38</v>
      </c>
      <c r="K134" s="1"/>
      <c r="L134" t="s">
        <v>38</v>
      </c>
      <c r="M134" t="s">
        <v>37</v>
      </c>
      <c r="O134" t="s">
        <v>38</v>
      </c>
      <c r="T134" t="str">
        <f>IF(RecruitmentTable[[#This Row],[Final Status]]="In process","Screening",IF(RecruitmentTable[[#This Row],[Final Status]]="Selected","Offer","Rejected"))</f>
        <v>Rejected</v>
      </c>
      <c r="U134">
        <f>IF(RecruitmentTable[[#This Row],[Final Status]]="Selected",1,0)</f>
        <v>0</v>
      </c>
    </row>
    <row r="135" spans="1:21" x14ac:dyDescent="0.25">
      <c r="A135" t="s">
        <v>293</v>
      </c>
      <c r="B135" t="s">
        <v>294</v>
      </c>
      <c r="C135" s="1">
        <v>46192</v>
      </c>
      <c r="D135" t="s">
        <v>21</v>
      </c>
      <c r="E135" t="s">
        <v>22</v>
      </c>
      <c r="F135" t="s">
        <v>35</v>
      </c>
      <c r="G135" t="s">
        <v>36</v>
      </c>
      <c r="H135" t="s">
        <v>62</v>
      </c>
      <c r="I135" t="s">
        <v>26</v>
      </c>
      <c r="J135" t="s">
        <v>27</v>
      </c>
      <c r="K135" s="1">
        <v>46197</v>
      </c>
      <c r="L135" t="s">
        <v>28</v>
      </c>
      <c r="M135" t="s">
        <v>29</v>
      </c>
      <c r="N135" s="1">
        <v>46204</v>
      </c>
      <c r="O135" t="s">
        <v>30</v>
      </c>
      <c r="P135" s="1">
        <v>46218</v>
      </c>
      <c r="Q135">
        <v>5</v>
      </c>
      <c r="R135">
        <v>7</v>
      </c>
      <c r="S135">
        <v>14</v>
      </c>
      <c r="T135" t="str">
        <f>IF(RecruitmentTable[[#This Row],[Final Status]]="In process","Screening",IF(RecruitmentTable[[#This Row],[Final Status]]="Selected","Offer","Rejected"))</f>
        <v>Offer</v>
      </c>
      <c r="U135">
        <f>IF(RecruitmentTable[[#This Row],[Final Status]]="Selected",1,0)</f>
        <v>1</v>
      </c>
    </row>
    <row r="136" spans="1:21" x14ac:dyDescent="0.25">
      <c r="A136" t="s">
        <v>295</v>
      </c>
      <c r="B136" t="s">
        <v>296</v>
      </c>
      <c r="C136" s="1">
        <v>46103</v>
      </c>
      <c r="D136" t="s">
        <v>41</v>
      </c>
      <c r="E136" t="s">
        <v>42</v>
      </c>
      <c r="F136" t="s">
        <v>35</v>
      </c>
      <c r="G136" t="s">
        <v>47</v>
      </c>
      <c r="H136" t="s">
        <v>62</v>
      </c>
      <c r="I136" t="s">
        <v>37</v>
      </c>
      <c r="J136" t="s">
        <v>38</v>
      </c>
      <c r="K136" s="1"/>
      <c r="L136" t="s">
        <v>38</v>
      </c>
      <c r="M136" t="s">
        <v>37</v>
      </c>
      <c r="O136" t="s">
        <v>38</v>
      </c>
      <c r="T136" t="str">
        <f>IF(RecruitmentTable[[#This Row],[Final Status]]="In process","Screening",IF(RecruitmentTable[[#This Row],[Final Status]]="Selected","Offer","Rejected"))</f>
        <v>Rejected</v>
      </c>
      <c r="U136">
        <f>IF(RecruitmentTable[[#This Row],[Final Status]]="Selected",1,0)</f>
        <v>0</v>
      </c>
    </row>
    <row r="137" spans="1:21" x14ac:dyDescent="0.25">
      <c r="A137" t="s">
        <v>297</v>
      </c>
      <c r="B137" t="s">
        <v>298</v>
      </c>
      <c r="C137" s="1">
        <v>46062</v>
      </c>
      <c r="D137" t="s">
        <v>65</v>
      </c>
      <c r="E137" t="s">
        <v>42</v>
      </c>
      <c r="F137" t="s">
        <v>100</v>
      </c>
      <c r="G137" t="s">
        <v>24</v>
      </c>
      <c r="H137" t="s">
        <v>62</v>
      </c>
      <c r="I137" t="s">
        <v>37</v>
      </c>
      <c r="J137" t="s">
        <v>38</v>
      </c>
      <c r="K137" s="1"/>
      <c r="L137" t="s">
        <v>38</v>
      </c>
      <c r="M137" t="s">
        <v>37</v>
      </c>
      <c r="O137" t="s">
        <v>38</v>
      </c>
      <c r="T137" t="str">
        <f>IF(RecruitmentTable[[#This Row],[Final Status]]="In process","Screening",IF(RecruitmentTable[[#This Row],[Final Status]]="Selected","Offer","Rejected"))</f>
        <v>Rejected</v>
      </c>
      <c r="U137">
        <f>IF(RecruitmentTable[[#This Row],[Final Status]]="Selected",1,0)</f>
        <v>0</v>
      </c>
    </row>
    <row r="138" spans="1:21" x14ac:dyDescent="0.25">
      <c r="A138" t="s">
        <v>299</v>
      </c>
      <c r="B138" t="s">
        <v>300</v>
      </c>
      <c r="C138" s="1">
        <v>46081</v>
      </c>
      <c r="D138" t="s">
        <v>41</v>
      </c>
      <c r="E138" t="s">
        <v>42</v>
      </c>
      <c r="F138" t="s">
        <v>57</v>
      </c>
      <c r="G138" t="s">
        <v>84</v>
      </c>
      <c r="H138" t="s">
        <v>25</v>
      </c>
      <c r="I138" t="s">
        <v>37</v>
      </c>
      <c r="J138" t="s">
        <v>38</v>
      </c>
      <c r="K138" s="1"/>
      <c r="L138" t="s">
        <v>38</v>
      </c>
      <c r="M138" t="s">
        <v>37</v>
      </c>
      <c r="O138" t="s">
        <v>38</v>
      </c>
      <c r="T138" t="str">
        <f>IF(RecruitmentTable[[#This Row],[Final Status]]="In process","Screening",IF(RecruitmentTable[[#This Row],[Final Status]]="Selected","Offer","Rejected"))</f>
        <v>Rejected</v>
      </c>
      <c r="U138">
        <f>IF(RecruitmentTable[[#This Row],[Final Status]]="Selected",1,0)</f>
        <v>0</v>
      </c>
    </row>
    <row r="139" spans="1:21" x14ac:dyDescent="0.25">
      <c r="A139" t="s">
        <v>301</v>
      </c>
      <c r="B139" t="s">
        <v>302</v>
      </c>
      <c r="C139" s="1">
        <v>46029</v>
      </c>
      <c r="D139" t="s">
        <v>33</v>
      </c>
      <c r="E139" t="s">
        <v>34</v>
      </c>
      <c r="F139" t="s">
        <v>35</v>
      </c>
      <c r="G139" t="s">
        <v>66</v>
      </c>
      <c r="H139" t="s">
        <v>51</v>
      </c>
      <c r="I139" t="s">
        <v>26</v>
      </c>
      <c r="J139" t="s">
        <v>27</v>
      </c>
      <c r="K139" s="1">
        <v>46034</v>
      </c>
      <c r="L139" t="s">
        <v>28</v>
      </c>
      <c r="M139" t="s">
        <v>37</v>
      </c>
      <c r="O139" t="s">
        <v>38</v>
      </c>
      <c r="Q139">
        <v>5</v>
      </c>
      <c r="T139" t="str">
        <f>IF(RecruitmentTable[[#This Row],[Final Status]]="In process","Screening",IF(RecruitmentTable[[#This Row],[Final Status]]="Selected","Offer","Rejected"))</f>
        <v>Rejected</v>
      </c>
      <c r="U139">
        <f>IF(RecruitmentTable[[#This Row],[Final Status]]="Selected",1,0)</f>
        <v>0</v>
      </c>
    </row>
    <row r="140" spans="1:21" x14ac:dyDescent="0.25">
      <c r="A140" t="s">
        <v>303</v>
      </c>
      <c r="B140" t="s">
        <v>158</v>
      </c>
      <c r="C140" s="1">
        <v>46228</v>
      </c>
      <c r="D140" t="s">
        <v>21</v>
      </c>
      <c r="E140" t="s">
        <v>22</v>
      </c>
      <c r="F140" t="s">
        <v>57</v>
      </c>
      <c r="G140" t="s">
        <v>24</v>
      </c>
      <c r="H140" t="s">
        <v>25</v>
      </c>
      <c r="I140" t="s">
        <v>37</v>
      </c>
      <c r="J140" t="s">
        <v>38</v>
      </c>
      <c r="K140" s="1"/>
      <c r="L140" t="s">
        <v>38</v>
      </c>
      <c r="M140" t="s">
        <v>37</v>
      </c>
      <c r="O140" t="s">
        <v>38</v>
      </c>
      <c r="T140" t="str">
        <f>IF(RecruitmentTable[[#This Row],[Final Status]]="In process","Screening",IF(RecruitmentTable[[#This Row],[Final Status]]="Selected","Offer","Rejected"))</f>
        <v>Rejected</v>
      </c>
      <c r="U140">
        <f>IF(RecruitmentTable[[#This Row],[Final Status]]="Selected",1,0)</f>
        <v>0</v>
      </c>
    </row>
    <row r="141" spans="1:21" x14ac:dyDescent="0.25">
      <c r="A141" t="s">
        <v>304</v>
      </c>
      <c r="B141" t="s">
        <v>305</v>
      </c>
      <c r="C141" s="1">
        <v>46039</v>
      </c>
      <c r="D141" t="s">
        <v>41</v>
      </c>
      <c r="E141" t="s">
        <v>42</v>
      </c>
      <c r="F141" t="s">
        <v>57</v>
      </c>
      <c r="G141" t="s">
        <v>84</v>
      </c>
      <c r="H141" t="s">
        <v>25</v>
      </c>
      <c r="I141" t="s">
        <v>37</v>
      </c>
      <c r="J141" t="s">
        <v>38</v>
      </c>
      <c r="K141" s="1"/>
      <c r="L141" t="s">
        <v>38</v>
      </c>
      <c r="M141" t="s">
        <v>37</v>
      </c>
      <c r="O141" t="s">
        <v>38</v>
      </c>
      <c r="T141" t="str">
        <f>IF(RecruitmentTable[[#This Row],[Final Status]]="In process","Screening",IF(RecruitmentTable[[#This Row],[Final Status]]="Selected","Offer","Rejected"))</f>
        <v>Rejected</v>
      </c>
      <c r="U141">
        <f>IF(RecruitmentTable[[#This Row],[Final Status]]="Selected",1,0)</f>
        <v>0</v>
      </c>
    </row>
    <row r="142" spans="1:21" x14ac:dyDescent="0.25">
      <c r="A142" t="s">
        <v>306</v>
      </c>
      <c r="B142" t="s">
        <v>302</v>
      </c>
      <c r="C142" s="1">
        <v>46096</v>
      </c>
      <c r="D142" t="s">
        <v>83</v>
      </c>
      <c r="E142" t="s">
        <v>34</v>
      </c>
      <c r="F142" t="s">
        <v>43</v>
      </c>
      <c r="G142" t="s">
        <v>47</v>
      </c>
      <c r="H142" t="s">
        <v>25</v>
      </c>
      <c r="I142" t="s">
        <v>26</v>
      </c>
      <c r="J142" t="s">
        <v>38</v>
      </c>
      <c r="K142" s="1"/>
      <c r="L142" t="s">
        <v>58</v>
      </c>
      <c r="M142" t="s">
        <v>59</v>
      </c>
      <c r="O142" t="s">
        <v>38</v>
      </c>
      <c r="T142" t="str">
        <f>IF(RecruitmentTable[[#This Row],[Final Status]]="In process","Screening",IF(RecruitmentTable[[#This Row],[Final Status]]="Selected","Offer","Rejected"))</f>
        <v>Screening</v>
      </c>
      <c r="U142">
        <f>IF(RecruitmentTable[[#This Row],[Final Status]]="Selected",1,0)</f>
        <v>0</v>
      </c>
    </row>
    <row r="143" spans="1:21" x14ac:dyDescent="0.25">
      <c r="A143" t="s">
        <v>307</v>
      </c>
      <c r="B143" t="s">
        <v>308</v>
      </c>
      <c r="C143" s="1">
        <v>46241</v>
      </c>
      <c r="D143" t="s">
        <v>41</v>
      </c>
      <c r="E143" t="s">
        <v>42</v>
      </c>
      <c r="F143" t="s">
        <v>50</v>
      </c>
      <c r="G143" t="s">
        <v>71</v>
      </c>
      <c r="H143" t="s">
        <v>72</v>
      </c>
      <c r="I143" t="s">
        <v>26</v>
      </c>
      <c r="J143" t="s">
        <v>27</v>
      </c>
      <c r="K143" s="1">
        <v>46258</v>
      </c>
      <c r="L143" t="s">
        <v>28</v>
      </c>
      <c r="M143" t="s">
        <v>37</v>
      </c>
      <c r="O143" t="s">
        <v>38</v>
      </c>
      <c r="Q143">
        <v>17</v>
      </c>
      <c r="T143" t="str">
        <f>IF(RecruitmentTable[[#This Row],[Final Status]]="In process","Screening",IF(RecruitmentTable[[#This Row],[Final Status]]="Selected","Offer","Rejected"))</f>
        <v>Rejected</v>
      </c>
      <c r="U143">
        <f>IF(RecruitmentTable[[#This Row],[Final Status]]="Selected",1,0)</f>
        <v>0</v>
      </c>
    </row>
    <row r="144" spans="1:21" x14ac:dyDescent="0.25">
      <c r="A144" t="s">
        <v>309</v>
      </c>
      <c r="B144" t="s">
        <v>78</v>
      </c>
      <c r="C144" s="1">
        <v>46226</v>
      </c>
      <c r="D144" t="s">
        <v>21</v>
      </c>
      <c r="E144" t="s">
        <v>22</v>
      </c>
      <c r="F144" t="s">
        <v>50</v>
      </c>
      <c r="G144" t="s">
        <v>24</v>
      </c>
      <c r="H144" t="s">
        <v>25</v>
      </c>
      <c r="I144" t="s">
        <v>26</v>
      </c>
      <c r="J144" t="s">
        <v>27</v>
      </c>
      <c r="K144" s="1">
        <v>46232</v>
      </c>
      <c r="L144" t="s">
        <v>28</v>
      </c>
      <c r="M144" t="s">
        <v>37</v>
      </c>
      <c r="O144" t="s">
        <v>38</v>
      </c>
      <c r="Q144">
        <v>6</v>
      </c>
      <c r="T144" t="str">
        <f>IF(RecruitmentTable[[#This Row],[Final Status]]="In process","Screening",IF(RecruitmentTable[[#This Row],[Final Status]]="Selected","Offer","Rejected"))</f>
        <v>Rejected</v>
      </c>
      <c r="U144">
        <f>IF(RecruitmentTable[[#This Row],[Final Status]]="Selected",1,0)</f>
        <v>0</v>
      </c>
    </row>
    <row r="145" spans="1:21" x14ac:dyDescent="0.25">
      <c r="A145" t="s">
        <v>310</v>
      </c>
      <c r="B145" t="s">
        <v>198</v>
      </c>
      <c r="C145" s="1">
        <v>46048</v>
      </c>
      <c r="D145" t="s">
        <v>41</v>
      </c>
      <c r="E145" t="s">
        <v>42</v>
      </c>
      <c r="F145" t="s">
        <v>100</v>
      </c>
      <c r="G145" t="s">
        <v>36</v>
      </c>
      <c r="H145" t="s">
        <v>62</v>
      </c>
      <c r="I145" t="s">
        <v>26</v>
      </c>
      <c r="J145" t="s">
        <v>27</v>
      </c>
      <c r="K145" s="1">
        <v>46064</v>
      </c>
      <c r="L145" t="s">
        <v>28</v>
      </c>
      <c r="M145" t="s">
        <v>37</v>
      </c>
      <c r="O145" t="s">
        <v>38</v>
      </c>
      <c r="Q145">
        <v>16</v>
      </c>
      <c r="T145" t="str">
        <f>IF(RecruitmentTable[[#This Row],[Final Status]]="In process","Screening",IF(RecruitmentTable[[#This Row],[Final Status]]="Selected","Offer","Rejected"))</f>
        <v>Rejected</v>
      </c>
      <c r="U145">
        <f>IF(RecruitmentTable[[#This Row],[Final Status]]="Selected",1,0)</f>
        <v>0</v>
      </c>
    </row>
    <row r="146" spans="1:21" x14ac:dyDescent="0.25">
      <c r="A146" t="s">
        <v>311</v>
      </c>
      <c r="B146" t="s">
        <v>249</v>
      </c>
      <c r="C146" s="1">
        <v>46152</v>
      </c>
      <c r="D146" t="s">
        <v>21</v>
      </c>
      <c r="E146" t="s">
        <v>22</v>
      </c>
      <c r="F146" t="s">
        <v>57</v>
      </c>
      <c r="G146" t="s">
        <v>24</v>
      </c>
      <c r="H146" t="s">
        <v>62</v>
      </c>
      <c r="I146" t="s">
        <v>37</v>
      </c>
      <c r="J146" t="s">
        <v>38</v>
      </c>
      <c r="K146" s="1"/>
      <c r="L146" t="s">
        <v>38</v>
      </c>
      <c r="M146" t="s">
        <v>37</v>
      </c>
      <c r="O146" t="s">
        <v>38</v>
      </c>
      <c r="T146" t="str">
        <f>IF(RecruitmentTable[[#This Row],[Final Status]]="In process","Screening",IF(RecruitmentTable[[#This Row],[Final Status]]="Selected","Offer","Rejected"))</f>
        <v>Rejected</v>
      </c>
      <c r="U146">
        <f>IF(RecruitmentTable[[#This Row],[Final Status]]="Selected",1,0)</f>
        <v>0</v>
      </c>
    </row>
    <row r="147" spans="1:21" x14ac:dyDescent="0.25">
      <c r="A147" t="s">
        <v>312</v>
      </c>
      <c r="B147" t="s">
        <v>313</v>
      </c>
      <c r="C147" s="1">
        <v>46114</v>
      </c>
      <c r="D147" t="s">
        <v>21</v>
      </c>
      <c r="E147" t="s">
        <v>22</v>
      </c>
      <c r="F147" t="s">
        <v>23</v>
      </c>
      <c r="G147" t="s">
        <v>47</v>
      </c>
      <c r="H147" t="s">
        <v>44</v>
      </c>
      <c r="I147" t="s">
        <v>26</v>
      </c>
      <c r="J147" t="s">
        <v>27</v>
      </c>
      <c r="K147" s="1">
        <v>46118</v>
      </c>
      <c r="L147" t="s">
        <v>28</v>
      </c>
      <c r="M147" t="s">
        <v>37</v>
      </c>
      <c r="O147" t="s">
        <v>38</v>
      </c>
      <c r="Q147">
        <v>4</v>
      </c>
      <c r="T147" t="str">
        <f>IF(RecruitmentTable[[#This Row],[Final Status]]="In process","Screening",IF(RecruitmentTable[[#This Row],[Final Status]]="Selected","Offer","Rejected"))</f>
        <v>Rejected</v>
      </c>
      <c r="U147">
        <f>IF(RecruitmentTable[[#This Row],[Final Status]]="Selected",1,0)</f>
        <v>0</v>
      </c>
    </row>
    <row r="148" spans="1:21" x14ac:dyDescent="0.25">
      <c r="A148" t="s">
        <v>314</v>
      </c>
      <c r="B148" t="s">
        <v>315</v>
      </c>
      <c r="C148" s="1">
        <v>46184</v>
      </c>
      <c r="D148" t="s">
        <v>41</v>
      </c>
      <c r="E148" t="s">
        <v>42</v>
      </c>
      <c r="F148" t="s">
        <v>50</v>
      </c>
      <c r="G148" t="s">
        <v>24</v>
      </c>
      <c r="H148" t="s">
        <v>44</v>
      </c>
      <c r="I148" t="s">
        <v>37</v>
      </c>
      <c r="J148" t="s">
        <v>38</v>
      </c>
      <c r="K148" s="1"/>
      <c r="L148" t="s">
        <v>38</v>
      </c>
      <c r="M148" t="s">
        <v>37</v>
      </c>
      <c r="O148" t="s">
        <v>38</v>
      </c>
      <c r="T148" t="str">
        <f>IF(RecruitmentTable[[#This Row],[Final Status]]="In process","Screening",IF(RecruitmentTable[[#This Row],[Final Status]]="Selected","Offer","Rejected"))</f>
        <v>Rejected</v>
      </c>
      <c r="U148">
        <f>IF(RecruitmentTable[[#This Row],[Final Status]]="Selected",1,0)</f>
        <v>0</v>
      </c>
    </row>
    <row r="149" spans="1:21" x14ac:dyDescent="0.25">
      <c r="A149" t="s">
        <v>316</v>
      </c>
      <c r="B149" t="s">
        <v>317</v>
      </c>
      <c r="C149" s="1">
        <v>46094</v>
      </c>
      <c r="D149" t="s">
        <v>41</v>
      </c>
      <c r="E149" t="s">
        <v>42</v>
      </c>
      <c r="F149" t="s">
        <v>57</v>
      </c>
      <c r="G149" t="s">
        <v>24</v>
      </c>
      <c r="H149" t="s">
        <v>62</v>
      </c>
      <c r="I149" t="s">
        <v>37</v>
      </c>
      <c r="J149" t="s">
        <v>38</v>
      </c>
      <c r="K149" s="1"/>
      <c r="L149" t="s">
        <v>38</v>
      </c>
      <c r="M149" t="s">
        <v>37</v>
      </c>
      <c r="O149" t="s">
        <v>38</v>
      </c>
      <c r="T149" t="str">
        <f>IF(RecruitmentTable[[#This Row],[Final Status]]="In process","Screening",IF(RecruitmentTable[[#This Row],[Final Status]]="Selected","Offer","Rejected"))</f>
        <v>Rejected</v>
      </c>
      <c r="U149">
        <f>IF(RecruitmentTable[[#This Row],[Final Status]]="Selected",1,0)</f>
        <v>0</v>
      </c>
    </row>
    <row r="150" spans="1:21" x14ac:dyDescent="0.25">
      <c r="A150" t="s">
        <v>318</v>
      </c>
      <c r="B150" t="s">
        <v>319</v>
      </c>
      <c r="C150" s="1">
        <v>46203</v>
      </c>
      <c r="D150" t="s">
        <v>33</v>
      </c>
      <c r="E150" t="s">
        <v>34</v>
      </c>
      <c r="F150" t="s">
        <v>57</v>
      </c>
      <c r="G150" t="s">
        <v>66</v>
      </c>
      <c r="H150" t="s">
        <v>72</v>
      </c>
      <c r="I150" t="s">
        <v>26</v>
      </c>
      <c r="J150" t="s">
        <v>27</v>
      </c>
      <c r="K150" s="1">
        <v>46210</v>
      </c>
      <c r="L150" t="s">
        <v>28</v>
      </c>
      <c r="M150" t="s">
        <v>37</v>
      </c>
      <c r="O150" t="s">
        <v>38</v>
      </c>
      <c r="Q150">
        <v>7</v>
      </c>
      <c r="T150" t="str">
        <f>IF(RecruitmentTable[[#This Row],[Final Status]]="In process","Screening",IF(RecruitmentTable[[#This Row],[Final Status]]="Selected","Offer","Rejected"))</f>
        <v>Rejected</v>
      </c>
      <c r="U150">
        <f>IF(RecruitmentTable[[#This Row],[Final Status]]="Selected",1,0)</f>
        <v>0</v>
      </c>
    </row>
    <row r="151" spans="1:21" x14ac:dyDescent="0.25">
      <c r="A151" t="s">
        <v>320</v>
      </c>
      <c r="B151" t="s">
        <v>321</v>
      </c>
      <c r="C151" s="1">
        <v>46188</v>
      </c>
      <c r="D151" t="s">
        <v>56</v>
      </c>
      <c r="E151" t="s">
        <v>34</v>
      </c>
      <c r="F151" t="s">
        <v>50</v>
      </c>
      <c r="G151" t="s">
        <v>24</v>
      </c>
      <c r="H151" t="s">
        <v>25</v>
      </c>
      <c r="I151" t="s">
        <v>26</v>
      </c>
      <c r="J151" t="s">
        <v>38</v>
      </c>
      <c r="K151" s="1"/>
      <c r="L151" t="s">
        <v>58</v>
      </c>
      <c r="M151" t="s">
        <v>59</v>
      </c>
      <c r="O151" t="s">
        <v>38</v>
      </c>
      <c r="T151" t="str">
        <f>IF(RecruitmentTable[[#This Row],[Final Status]]="In process","Screening",IF(RecruitmentTable[[#This Row],[Final Status]]="Selected","Offer","Rejected"))</f>
        <v>Screening</v>
      </c>
      <c r="U151">
        <f>IF(RecruitmentTable[[#This Row],[Final Status]]="Selected",1,0)</f>
        <v>0</v>
      </c>
    </row>
    <row r="152" spans="1:21" x14ac:dyDescent="0.25">
      <c r="A152" t="s">
        <v>322</v>
      </c>
      <c r="B152" t="s">
        <v>55</v>
      </c>
      <c r="C152" s="1">
        <v>46231</v>
      </c>
      <c r="D152" t="s">
        <v>41</v>
      </c>
      <c r="E152" t="s">
        <v>42</v>
      </c>
      <c r="F152" t="s">
        <v>43</v>
      </c>
      <c r="G152" t="s">
        <v>24</v>
      </c>
      <c r="H152" t="s">
        <v>62</v>
      </c>
      <c r="I152" t="s">
        <v>37</v>
      </c>
      <c r="J152" t="s">
        <v>38</v>
      </c>
      <c r="K152" s="1"/>
      <c r="L152" t="s">
        <v>38</v>
      </c>
      <c r="M152" t="s">
        <v>37</v>
      </c>
      <c r="O152" t="s">
        <v>38</v>
      </c>
      <c r="T152" t="str">
        <f>IF(RecruitmentTable[[#This Row],[Final Status]]="In process","Screening",IF(RecruitmentTable[[#This Row],[Final Status]]="Selected","Offer","Rejected"))</f>
        <v>Rejected</v>
      </c>
      <c r="U152">
        <f>IF(RecruitmentTable[[#This Row],[Final Status]]="Selected",1,0)</f>
        <v>0</v>
      </c>
    </row>
    <row r="153" spans="1:21" x14ac:dyDescent="0.25">
      <c r="A153" t="s">
        <v>323</v>
      </c>
      <c r="B153" t="s">
        <v>115</v>
      </c>
      <c r="C153" s="1">
        <v>46124</v>
      </c>
      <c r="D153" t="s">
        <v>33</v>
      </c>
      <c r="E153" t="s">
        <v>34</v>
      </c>
      <c r="F153" t="s">
        <v>50</v>
      </c>
      <c r="G153" t="s">
        <v>71</v>
      </c>
      <c r="H153" t="s">
        <v>72</v>
      </c>
      <c r="I153" t="s">
        <v>26</v>
      </c>
      <c r="J153" t="s">
        <v>38</v>
      </c>
      <c r="K153" s="1"/>
      <c r="L153" t="s">
        <v>58</v>
      </c>
      <c r="M153" t="s">
        <v>59</v>
      </c>
      <c r="O153" t="s">
        <v>38</v>
      </c>
      <c r="T153" t="str">
        <f>IF(RecruitmentTable[[#This Row],[Final Status]]="In process","Screening",IF(RecruitmentTable[[#This Row],[Final Status]]="Selected","Offer","Rejected"))</f>
        <v>Screening</v>
      </c>
      <c r="U153">
        <f>IF(RecruitmentTable[[#This Row],[Final Status]]="Selected",1,0)</f>
        <v>0</v>
      </c>
    </row>
    <row r="154" spans="1:21" x14ac:dyDescent="0.25">
      <c r="A154" t="s">
        <v>324</v>
      </c>
      <c r="B154" t="s">
        <v>325</v>
      </c>
      <c r="C154" s="1">
        <v>46108</v>
      </c>
      <c r="D154" t="s">
        <v>41</v>
      </c>
      <c r="E154" t="s">
        <v>42</v>
      </c>
      <c r="F154" t="s">
        <v>23</v>
      </c>
      <c r="G154" t="s">
        <v>84</v>
      </c>
      <c r="H154" t="s">
        <v>51</v>
      </c>
      <c r="I154" t="s">
        <v>26</v>
      </c>
      <c r="J154" t="s">
        <v>27</v>
      </c>
      <c r="K154" s="1">
        <v>46115</v>
      </c>
      <c r="L154" t="s">
        <v>28</v>
      </c>
      <c r="M154" t="s">
        <v>29</v>
      </c>
      <c r="N154" s="1">
        <v>46118</v>
      </c>
      <c r="O154" t="s">
        <v>30</v>
      </c>
      <c r="P154" s="1">
        <v>46134</v>
      </c>
      <c r="Q154">
        <v>7</v>
      </c>
      <c r="R154">
        <v>3</v>
      </c>
      <c r="S154">
        <v>16</v>
      </c>
      <c r="T154" t="str">
        <f>IF(RecruitmentTable[[#This Row],[Final Status]]="In process","Screening",IF(RecruitmentTable[[#This Row],[Final Status]]="Selected","Offer","Rejected"))</f>
        <v>Offer</v>
      </c>
      <c r="U154">
        <f>IF(RecruitmentTable[[#This Row],[Final Status]]="Selected",1,0)</f>
        <v>1</v>
      </c>
    </row>
    <row r="155" spans="1:21" x14ac:dyDescent="0.25">
      <c r="A155" t="s">
        <v>326</v>
      </c>
      <c r="B155" t="s">
        <v>327</v>
      </c>
      <c r="C155" s="1">
        <v>46112</v>
      </c>
      <c r="D155" t="s">
        <v>65</v>
      </c>
      <c r="E155" t="s">
        <v>42</v>
      </c>
      <c r="F155" t="s">
        <v>57</v>
      </c>
      <c r="G155" t="s">
        <v>47</v>
      </c>
      <c r="H155" t="s">
        <v>44</v>
      </c>
      <c r="I155" t="s">
        <v>26</v>
      </c>
      <c r="J155" t="s">
        <v>27</v>
      </c>
      <c r="K155" s="1">
        <v>46121</v>
      </c>
      <c r="L155" t="s">
        <v>28</v>
      </c>
      <c r="M155" t="s">
        <v>37</v>
      </c>
      <c r="O155" t="s">
        <v>38</v>
      </c>
      <c r="Q155">
        <v>9</v>
      </c>
      <c r="T155" t="str">
        <f>IF(RecruitmentTable[[#This Row],[Final Status]]="In process","Screening",IF(RecruitmentTable[[#This Row],[Final Status]]="Selected","Offer","Rejected"))</f>
        <v>Rejected</v>
      </c>
      <c r="U155">
        <f>IF(RecruitmentTable[[#This Row],[Final Status]]="Selected",1,0)</f>
        <v>0</v>
      </c>
    </row>
    <row r="156" spans="1:21" x14ac:dyDescent="0.25">
      <c r="A156" t="s">
        <v>328</v>
      </c>
      <c r="B156" t="s">
        <v>173</v>
      </c>
      <c r="C156" s="1">
        <v>46095</v>
      </c>
      <c r="D156" t="s">
        <v>41</v>
      </c>
      <c r="E156" t="s">
        <v>42</v>
      </c>
      <c r="F156" t="s">
        <v>50</v>
      </c>
      <c r="G156" t="s">
        <v>36</v>
      </c>
      <c r="H156" t="s">
        <v>51</v>
      </c>
      <c r="I156" t="s">
        <v>26</v>
      </c>
      <c r="J156" t="s">
        <v>38</v>
      </c>
      <c r="K156" s="1"/>
      <c r="L156" t="s">
        <v>58</v>
      </c>
      <c r="M156" t="s">
        <v>59</v>
      </c>
      <c r="O156" t="s">
        <v>38</v>
      </c>
      <c r="T156" t="str">
        <f>IF(RecruitmentTable[[#This Row],[Final Status]]="In process","Screening",IF(RecruitmentTable[[#This Row],[Final Status]]="Selected","Offer","Rejected"))</f>
        <v>Screening</v>
      </c>
      <c r="U156">
        <f>IF(RecruitmentTable[[#This Row],[Final Status]]="Selected",1,0)</f>
        <v>0</v>
      </c>
    </row>
    <row r="157" spans="1:21" x14ac:dyDescent="0.25">
      <c r="A157" t="s">
        <v>329</v>
      </c>
      <c r="B157" t="s">
        <v>330</v>
      </c>
      <c r="C157" s="1">
        <v>46029</v>
      </c>
      <c r="D157" t="s">
        <v>65</v>
      </c>
      <c r="E157" t="s">
        <v>42</v>
      </c>
      <c r="F157" t="s">
        <v>35</v>
      </c>
      <c r="G157" t="s">
        <v>36</v>
      </c>
      <c r="H157" t="s">
        <v>51</v>
      </c>
      <c r="I157" t="s">
        <v>26</v>
      </c>
      <c r="J157" t="s">
        <v>27</v>
      </c>
      <c r="K157" s="1">
        <v>46044</v>
      </c>
      <c r="L157" t="s">
        <v>28</v>
      </c>
      <c r="M157" t="s">
        <v>29</v>
      </c>
      <c r="N157" s="1">
        <v>46049</v>
      </c>
      <c r="O157" t="s">
        <v>30</v>
      </c>
      <c r="P157" s="1">
        <v>46071</v>
      </c>
      <c r="Q157">
        <v>15</v>
      </c>
      <c r="R157">
        <v>5</v>
      </c>
      <c r="S157">
        <v>22</v>
      </c>
      <c r="T157" t="str">
        <f>IF(RecruitmentTable[[#This Row],[Final Status]]="In process","Screening",IF(RecruitmentTable[[#This Row],[Final Status]]="Selected","Offer","Rejected"))</f>
        <v>Offer</v>
      </c>
      <c r="U157">
        <f>IF(RecruitmentTable[[#This Row],[Final Status]]="Selected",1,0)</f>
        <v>1</v>
      </c>
    </row>
    <row r="158" spans="1:21" x14ac:dyDescent="0.25">
      <c r="A158" t="s">
        <v>331</v>
      </c>
      <c r="B158" t="s">
        <v>332</v>
      </c>
      <c r="C158" s="1">
        <v>46144</v>
      </c>
      <c r="D158" t="s">
        <v>56</v>
      </c>
      <c r="E158" t="s">
        <v>34</v>
      </c>
      <c r="F158" t="s">
        <v>50</v>
      </c>
      <c r="G158" t="s">
        <v>36</v>
      </c>
      <c r="H158" t="s">
        <v>25</v>
      </c>
      <c r="I158" t="s">
        <v>37</v>
      </c>
      <c r="J158" t="s">
        <v>38</v>
      </c>
      <c r="K158" s="1"/>
      <c r="L158" t="s">
        <v>38</v>
      </c>
      <c r="M158" t="s">
        <v>37</v>
      </c>
      <c r="O158" t="s">
        <v>38</v>
      </c>
      <c r="T158" t="str">
        <f>IF(RecruitmentTable[[#This Row],[Final Status]]="In process","Screening",IF(RecruitmentTable[[#This Row],[Final Status]]="Selected","Offer","Rejected"))</f>
        <v>Rejected</v>
      </c>
      <c r="U158">
        <f>IF(RecruitmentTable[[#This Row],[Final Status]]="Selected",1,0)</f>
        <v>0</v>
      </c>
    </row>
    <row r="159" spans="1:21" x14ac:dyDescent="0.25">
      <c r="A159" t="s">
        <v>333</v>
      </c>
      <c r="B159" t="s">
        <v>334</v>
      </c>
      <c r="C159" s="1">
        <v>46104</v>
      </c>
      <c r="D159" t="s">
        <v>41</v>
      </c>
      <c r="E159" t="s">
        <v>42</v>
      </c>
      <c r="F159" t="s">
        <v>43</v>
      </c>
      <c r="G159" t="s">
        <v>36</v>
      </c>
      <c r="H159" t="s">
        <v>72</v>
      </c>
      <c r="I159" t="s">
        <v>26</v>
      </c>
      <c r="J159" t="s">
        <v>27</v>
      </c>
      <c r="K159" s="1">
        <v>46120</v>
      </c>
      <c r="L159" t="s">
        <v>28</v>
      </c>
      <c r="M159" t="s">
        <v>37</v>
      </c>
      <c r="O159" t="s">
        <v>38</v>
      </c>
      <c r="Q159">
        <v>16</v>
      </c>
      <c r="T159" t="str">
        <f>IF(RecruitmentTable[[#This Row],[Final Status]]="In process","Screening",IF(RecruitmentTable[[#This Row],[Final Status]]="Selected","Offer","Rejected"))</f>
        <v>Rejected</v>
      </c>
      <c r="U159">
        <f>IF(RecruitmentTable[[#This Row],[Final Status]]="Selected",1,0)</f>
        <v>0</v>
      </c>
    </row>
    <row r="160" spans="1:21" x14ac:dyDescent="0.25">
      <c r="A160" t="s">
        <v>335</v>
      </c>
      <c r="B160" t="s">
        <v>82</v>
      </c>
      <c r="C160" s="1">
        <v>46235</v>
      </c>
      <c r="D160" t="s">
        <v>21</v>
      </c>
      <c r="E160" t="s">
        <v>22</v>
      </c>
      <c r="F160" t="s">
        <v>43</v>
      </c>
      <c r="G160" t="s">
        <v>71</v>
      </c>
      <c r="H160" t="s">
        <v>44</v>
      </c>
      <c r="I160" t="s">
        <v>37</v>
      </c>
      <c r="J160" t="s">
        <v>38</v>
      </c>
      <c r="K160" s="1"/>
      <c r="L160" t="s">
        <v>38</v>
      </c>
      <c r="M160" t="s">
        <v>37</v>
      </c>
      <c r="O160" t="s">
        <v>38</v>
      </c>
      <c r="T160" t="str">
        <f>IF(RecruitmentTable[[#This Row],[Final Status]]="In process","Screening",IF(RecruitmentTable[[#This Row],[Final Status]]="Selected","Offer","Rejected"))</f>
        <v>Rejected</v>
      </c>
      <c r="U160">
        <f>IF(RecruitmentTable[[#This Row],[Final Status]]="Selected",1,0)</f>
        <v>0</v>
      </c>
    </row>
    <row r="161" spans="1:21" x14ac:dyDescent="0.25">
      <c r="A161" t="s">
        <v>336</v>
      </c>
      <c r="B161" t="s">
        <v>302</v>
      </c>
      <c r="C161" s="1">
        <v>46174</v>
      </c>
      <c r="D161" t="s">
        <v>65</v>
      </c>
      <c r="E161" t="s">
        <v>42</v>
      </c>
      <c r="F161" t="s">
        <v>35</v>
      </c>
      <c r="G161" t="s">
        <v>36</v>
      </c>
      <c r="H161" t="s">
        <v>51</v>
      </c>
      <c r="I161" t="s">
        <v>37</v>
      </c>
      <c r="J161" t="s">
        <v>38</v>
      </c>
      <c r="K161" s="1"/>
      <c r="L161" t="s">
        <v>38</v>
      </c>
      <c r="M161" t="s">
        <v>37</v>
      </c>
      <c r="O161" t="s">
        <v>38</v>
      </c>
      <c r="T161" t="str">
        <f>IF(RecruitmentTable[[#This Row],[Final Status]]="In process","Screening",IF(RecruitmentTable[[#This Row],[Final Status]]="Selected","Offer","Rejected"))</f>
        <v>Rejected</v>
      </c>
      <c r="U161">
        <f>IF(RecruitmentTable[[#This Row],[Final Status]]="Selected",1,0)</f>
        <v>0</v>
      </c>
    </row>
    <row r="162" spans="1:21" x14ac:dyDescent="0.25">
      <c r="A162" t="s">
        <v>337</v>
      </c>
      <c r="B162" t="s">
        <v>338</v>
      </c>
      <c r="C162" s="1">
        <v>46284</v>
      </c>
      <c r="D162" t="s">
        <v>65</v>
      </c>
      <c r="E162" t="s">
        <v>42</v>
      </c>
      <c r="F162" t="s">
        <v>57</v>
      </c>
      <c r="G162" t="s">
        <v>66</v>
      </c>
      <c r="H162" t="s">
        <v>25</v>
      </c>
      <c r="I162" t="s">
        <v>26</v>
      </c>
      <c r="J162" t="s">
        <v>27</v>
      </c>
      <c r="K162" s="1">
        <v>46288</v>
      </c>
      <c r="L162" t="s">
        <v>28</v>
      </c>
      <c r="M162" t="s">
        <v>37</v>
      </c>
      <c r="O162" t="s">
        <v>38</v>
      </c>
      <c r="Q162">
        <v>4</v>
      </c>
      <c r="T162" t="str">
        <f>IF(RecruitmentTable[[#This Row],[Final Status]]="In process","Screening",IF(RecruitmentTable[[#This Row],[Final Status]]="Selected","Offer","Rejected"))</f>
        <v>Rejected</v>
      </c>
      <c r="U162">
        <f>IF(RecruitmentTable[[#This Row],[Final Status]]="Selected",1,0)</f>
        <v>0</v>
      </c>
    </row>
    <row r="163" spans="1:21" x14ac:dyDescent="0.25">
      <c r="A163" t="s">
        <v>339</v>
      </c>
      <c r="B163" t="s">
        <v>251</v>
      </c>
      <c r="C163" s="1">
        <v>46030</v>
      </c>
      <c r="D163" t="s">
        <v>83</v>
      </c>
      <c r="E163" t="s">
        <v>34</v>
      </c>
      <c r="F163" t="s">
        <v>50</v>
      </c>
      <c r="G163" t="s">
        <v>36</v>
      </c>
      <c r="H163" t="s">
        <v>51</v>
      </c>
      <c r="I163" t="s">
        <v>26</v>
      </c>
      <c r="J163" t="s">
        <v>38</v>
      </c>
      <c r="K163" s="1"/>
      <c r="L163" t="s">
        <v>58</v>
      </c>
      <c r="M163" t="s">
        <v>59</v>
      </c>
      <c r="O163" t="s">
        <v>38</v>
      </c>
      <c r="T163" t="str">
        <f>IF(RecruitmentTable[[#This Row],[Final Status]]="In process","Screening",IF(RecruitmentTable[[#This Row],[Final Status]]="Selected","Offer","Rejected"))</f>
        <v>Screening</v>
      </c>
      <c r="U163">
        <f>IF(RecruitmentTable[[#This Row],[Final Status]]="Selected",1,0)</f>
        <v>0</v>
      </c>
    </row>
    <row r="164" spans="1:21" x14ac:dyDescent="0.25">
      <c r="A164" t="s">
        <v>340</v>
      </c>
      <c r="B164" t="s">
        <v>341</v>
      </c>
      <c r="C164" s="1">
        <v>46133</v>
      </c>
      <c r="D164" t="s">
        <v>65</v>
      </c>
      <c r="E164" t="s">
        <v>42</v>
      </c>
      <c r="F164" t="s">
        <v>50</v>
      </c>
      <c r="G164" t="s">
        <v>36</v>
      </c>
      <c r="H164" t="s">
        <v>72</v>
      </c>
      <c r="I164" t="s">
        <v>26</v>
      </c>
      <c r="J164" t="s">
        <v>38</v>
      </c>
      <c r="K164" s="1"/>
      <c r="L164" t="s">
        <v>58</v>
      </c>
      <c r="M164" t="s">
        <v>59</v>
      </c>
      <c r="O164" t="s">
        <v>38</v>
      </c>
      <c r="T164" t="str">
        <f>IF(RecruitmentTable[[#This Row],[Final Status]]="In process","Screening",IF(RecruitmentTable[[#This Row],[Final Status]]="Selected","Offer","Rejected"))</f>
        <v>Screening</v>
      </c>
      <c r="U164">
        <f>IF(RecruitmentTable[[#This Row],[Final Status]]="Selected",1,0)</f>
        <v>0</v>
      </c>
    </row>
    <row r="165" spans="1:21" x14ac:dyDescent="0.25">
      <c r="A165" t="s">
        <v>342</v>
      </c>
      <c r="B165" t="s">
        <v>343</v>
      </c>
      <c r="C165" s="1">
        <v>46251</v>
      </c>
      <c r="D165" t="s">
        <v>41</v>
      </c>
      <c r="E165" t="s">
        <v>42</v>
      </c>
      <c r="F165" t="s">
        <v>35</v>
      </c>
      <c r="G165" t="s">
        <v>36</v>
      </c>
      <c r="H165" t="s">
        <v>44</v>
      </c>
      <c r="I165" t="s">
        <v>37</v>
      </c>
      <c r="J165" t="s">
        <v>38</v>
      </c>
      <c r="K165" s="1"/>
      <c r="L165" t="s">
        <v>38</v>
      </c>
      <c r="M165" t="s">
        <v>37</v>
      </c>
      <c r="O165" t="s">
        <v>38</v>
      </c>
      <c r="T165" t="str">
        <f>IF(RecruitmentTable[[#This Row],[Final Status]]="In process","Screening",IF(RecruitmentTable[[#This Row],[Final Status]]="Selected","Offer","Rejected"))</f>
        <v>Rejected</v>
      </c>
      <c r="U165">
        <f>IF(RecruitmentTable[[#This Row],[Final Status]]="Selected",1,0)</f>
        <v>0</v>
      </c>
    </row>
    <row r="166" spans="1:21" x14ac:dyDescent="0.25">
      <c r="A166" t="s">
        <v>344</v>
      </c>
      <c r="B166" t="s">
        <v>345</v>
      </c>
      <c r="C166" s="1">
        <v>46032</v>
      </c>
      <c r="D166" t="s">
        <v>41</v>
      </c>
      <c r="E166" t="s">
        <v>42</v>
      </c>
      <c r="F166" t="s">
        <v>35</v>
      </c>
      <c r="G166" t="s">
        <v>24</v>
      </c>
      <c r="H166" t="s">
        <v>51</v>
      </c>
      <c r="I166" t="s">
        <v>37</v>
      </c>
      <c r="J166" t="s">
        <v>38</v>
      </c>
      <c r="K166" s="1"/>
      <c r="L166" t="s">
        <v>38</v>
      </c>
      <c r="M166" t="s">
        <v>37</v>
      </c>
      <c r="O166" t="s">
        <v>38</v>
      </c>
      <c r="T166" t="str">
        <f>IF(RecruitmentTable[[#This Row],[Final Status]]="In process","Screening",IF(RecruitmentTable[[#This Row],[Final Status]]="Selected","Offer","Rejected"))</f>
        <v>Rejected</v>
      </c>
      <c r="U166">
        <f>IF(RecruitmentTable[[#This Row],[Final Status]]="Selected",1,0)</f>
        <v>0</v>
      </c>
    </row>
    <row r="167" spans="1:21" x14ac:dyDescent="0.25">
      <c r="A167" t="s">
        <v>346</v>
      </c>
      <c r="B167" t="s">
        <v>347</v>
      </c>
      <c r="C167" s="1">
        <v>46155</v>
      </c>
      <c r="D167" t="s">
        <v>56</v>
      </c>
      <c r="E167" t="s">
        <v>34</v>
      </c>
      <c r="F167" t="s">
        <v>50</v>
      </c>
      <c r="G167" t="s">
        <v>36</v>
      </c>
      <c r="H167" t="s">
        <v>44</v>
      </c>
      <c r="I167" t="s">
        <v>26</v>
      </c>
      <c r="J167" t="s">
        <v>27</v>
      </c>
      <c r="K167" s="1">
        <v>46170</v>
      </c>
      <c r="L167" t="s">
        <v>28</v>
      </c>
      <c r="M167" t="s">
        <v>37</v>
      </c>
      <c r="O167" t="s">
        <v>38</v>
      </c>
      <c r="Q167">
        <v>15</v>
      </c>
      <c r="T167" t="str">
        <f>IF(RecruitmentTable[[#This Row],[Final Status]]="In process","Screening",IF(RecruitmentTable[[#This Row],[Final Status]]="Selected","Offer","Rejected"))</f>
        <v>Rejected</v>
      </c>
      <c r="U167">
        <f>IF(RecruitmentTable[[#This Row],[Final Status]]="Selected",1,0)</f>
        <v>0</v>
      </c>
    </row>
    <row r="168" spans="1:21" x14ac:dyDescent="0.25">
      <c r="A168" t="s">
        <v>348</v>
      </c>
      <c r="B168" t="s">
        <v>123</v>
      </c>
      <c r="C168" s="1">
        <v>46142</v>
      </c>
      <c r="D168" t="s">
        <v>21</v>
      </c>
      <c r="E168" t="s">
        <v>22</v>
      </c>
      <c r="F168" t="s">
        <v>100</v>
      </c>
      <c r="G168" t="s">
        <v>36</v>
      </c>
      <c r="H168" t="s">
        <v>44</v>
      </c>
      <c r="I168" t="s">
        <v>26</v>
      </c>
      <c r="J168" t="s">
        <v>27</v>
      </c>
      <c r="K168" s="1">
        <v>46154</v>
      </c>
      <c r="L168" t="s">
        <v>28</v>
      </c>
      <c r="M168" t="s">
        <v>37</v>
      </c>
      <c r="O168" t="s">
        <v>38</v>
      </c>
      <c r="Q168">
        <v>12</v>
      </c>
      <c r="T168" t="str">
        <f>IF(RecruitmentTable[[#This Row],[Final Status]]="In process","Screening",IF(RecruitmentTable[[#This Row],[Final Status]]="Selected","Offer","Rejected"))</f>
        <v>Rejected</v>
      </c>
      <c r="U168">
        <f>IF(RecruitmentTable[[#This Row],[Final Status]]="Selected",1,0)</f>
        <v>0</v>
      </c>
    </row>
    <row r="169" spans="1:21" x14ac:dyDescent="0.25">
      <c r="A169" t="s">
        <v>349</v>
      </c>
      <c r="B169" t="s">
        <v>350</v>
      </c>
      <c r="C169" s="1">
        <v>46023</v>
      </c>
      <c r="D169" t="s">
        <v>41</v>
      </c>
      <c r="E169" t="s">
        <v>42</v>
      </c>
      <c r="F169" t="s">
        <v>100</v>
      </c>
      <c r="G169" t="s">
        <v>84</v>
      </c>
      <c r="H169" t="s">
        <v>25</v>
      </c>
      <c r="I169" t="s">
        <v>26</v>
      </c>
      <c r="J169" t="s">
        <v>27</v>
      </c>
      <c r="K169" s="1">
        <v>46030</v>
      </c>
      <c r="L169" t="s">
        <v>28</v>
      </c>
      <c r="M169" t="s">
        <v>37</v>
      </c>
      <c r="O169" t="s">
        <v>38</v>
      </c>
      <c r="Q169">
        <v>7</v>
      </c>
      <c r="T169" t="str">
        <f>IF(RecruitmentTable[[#This Row],[Final Status]]="In process","Screening",IF(RecruitmentTable[[#This Row],[Final Status]]="Selected","Offer","Rejected"))</f>
        <v>Rejected</v>
      </c>
      <c r="U169">
        <f>IF(RecruitmentTable[[#This Row],[Final Status]]="Selected",1,0)</f>
        <v>0</v>
      </c>
    </row>
    <row r="170" spans="1:21" x14ac:dyDescent="0.25">
      <c r="A170" t="s">
        <v>351</v>
      </c>
      <c r="B170" t="s">
        <v>173</v>
      </c>
      <c r="C170" s="1">
        <v>46273</v>
      </c>
      <c r="D170" t="s">
        <v>41</v>
      </c>
      <c r="E170" t="s">
        <v>42</v>
      </c>
      <c r="F170" t="s">
        <v>50</v>
      </c>
      <c r="G170" t="s">
        <v>66</v>
      </c>
      <c r="H170" t="s">
        <v>72</v>
      </c>
      <c r="I170" t="s">
        <v>37</v>
      </c>
      <c r="J170" t="s">
        <v>38</v>
      </c>
      <c r="K170" s="1"/>
      <c r="L170" t="s">
        <v>38</v>
      </c>
      <c r="M170" t="s">
        <v>37</v>
      </c>
      <c r="O170" t="s">
        <v>38</v>
      </c>
      <c r="T170" t="str">
        <f>IF(RecruitmentTable[[#This Row],[Final Status]]="In process","Screening",IF(RecruitmentTable[[#This Row],[Final Status]]="Selected","Offer","Rejected"))</f>
        <v>Rejected</v>
      </c>
      <c r="U170">
        <f>IF(RecruitmentTable[[#This Row],[Final Status]]="Selected",1,0)</f>
        <v>0</v>
      </c>
    </row>
    <row r="171" spans="1:21" x14ac:dyDescent="0.25">
      <c r="A171" t="s">
        <v>352</v>
      </c>
      <c r="B171" t="s">
        <v>296</v>
      </c>
      <c r="C171" s="1">
        <v>46200</v>
      </c>
      <c r="D171" t="s">
        <v>56</v>
      </c>
      <c r="E171" t="s">
        <v>34</v>
      </c>
      <c r="F171" t="s">
        <v>57</v>
      </c>
      <c r="G171" t="s">
        <v>36</v>
      </c>
      <c r="H171" t="s">
        <v>25</v>
      </c>
      <c r="I171" t="s">
        <v>26</v>
      </c>
      <c r="J171" t="s">
        <v>38</v>
      </c>
      <c r="K171" s="1"/>
      <c r="L171" t="s">
        <v>58</v>
      </c>
      <c r="M171" t="s">
        <v>59</v>
      </c>
      <c r="O171" t="s">
        <v>38</v>
      </c>
      <c r="T171" t="str">
        <f>IF(RecruitmentTable[[#This Row],[Final Status]]="In process","Screening",IF(RecruitmentTable[[#This Row],[Final Status]]="Selected","Offer","Rejected"))</f>
        <v>Screening</v>
      </c>
      <c r="U171">
        <f>IF(RecruitmentTable[[#This Row],[Final Status]]="Selected",1,0)</f>
        <v>0</v>
      </c>
    </row>
    <row r="172" spans="1:21" x14ac:dyDescent="0.25">
      <c r="A172" t="s">
        <v>353</v>
      </c>
      <c r="B172" t="s">
        <v>78</v>
      </c>
      <c r="C172" s="1">
        <v>46151</v>
      </c>
      <c r="D172" t="s">
        <v>21</v>
      </c>
      <c r="E172" t="s">
        <v>22</v>
      </c>
      <c r="F172" t="s">
        <v>57</v>
      </c>
      <c r="G172" t="s">
        <v>24</v>
      </c>
      <c r="H172" t="s">
        <v>51</v>
      </c>
      <c r="I172" t="s">
        <v>37</v>
      </c>
      <c r="J172" t="s">
        <v>38</v>
      </c>
      <c r="K172" s="1"/>
      <c r="L172" t="s">
        <v>38</v>
      </c>
      <c r="M172" t="s">
        <v>37</v>
      </c>
      <c r="O172" t="s">
        <v>38</v>
      </c>
      <c r="T172" t="str">
        <f>IF(RecruitmentTable[[#This Row],[Final Status]]="In process","Screening",IF(RecruitmentTable[[#This Row],[Final Status]]="Selected","Offer","Rejected"))</f>
        <v>Rejected</v>
      </c>
      <c r="U172">
        <f>IF(RecruitmentTable[[#This Row],[Final Status]]="Selected",1,0)</f>
        <v>0</v>
      </c>
    </row>
    <row r="173" spans="1:21" x14ac:dyDescent="0.25">
      <c r="A173" t="s">
        <v>354</v>
      </c>
      <c r="B173" t="s">
        <v>355</v>
      </c>
      <c r="C173" s="1">
        <v>46136</v>
      </c>
      <c r="D173" t="s">
        <v>56</v>
      </c>
      <c r="E173" t="s">
        <v>34</v>
      </c>
      <c r="F173" t="s">
        <v>100</v>
      </c>
      <c r="G173" t="s">
        <v>47</v>
      </c>
      <c r="H173" t="s">
        <v>72</v>
      </c>
      <c r="I173" t="s">
        <v>26</v>
      </c>
      <c r="J173" t="s">
        <v>38</v>
      </c>
      <c r="K173" s="1"/>
      <c r="L173" t="s">
        <v>58</v>
      </c>
      <c r="M173" t="s">
        <v>59</v>
      </c>
      <c r="O173" t="s">
        <v>38</v>
      </c>
      <c r="T173" t="str">
        <f>IF(RecruitmentTable[[#This Row],[Final Status]]="In process","Screening",IF(RecruitmentTable[[#This Row],[Final Status]]="Selected","Offer","Rejected"))</f>
        <v>Screening</v>
      </c>
      <c r="U173">
        <f>IF(RecruitmentTable[[#This Row],[Final Status]]="Selected",1,0)</f>
        <v>0</v>
      </c>
    </row>
    <row r="174" spans="1:21" x14ac:dyDescent="0.25">
      <c r="A174" t="s">
        <v>356</v>
      </c>
      <c r="B174" t="s">
        <v>251</v>
      </c>
      <c r="C174" s="1">
        <v>46023</v>
      </c>
      <c r="D174" t="s">
        <v>41</v>
      </c>
      <c r="E174" t="s">
        <v>42</v>
      </c>
      <c r="F174" t="s">
        <v>43</v>
      </c>
      <c r="G174" t="s">
        <v>36</v>
      </c>
      <c r="H174" t="s">
        <v>25</v>
      </c>
      <c r="I174" t="s">
        <v>26</v>
      </c>
      <c r="J174" t="s">
        <v>27</v>
      </c>
      <c r="K174" s="1">
        <v>46027</v>
      </c>
      <c r="L174" t="s">
        <v>28</v>
      </c>
      <c r="M174" t="s">
        <v>29</v>
      </c>
      <c r="N174" s="1">
        <v>46029</v>
      </c>
      <c r="O174" t="s">
        <v>30</v>
      </c>
      <c r="P174" s="1">
        <v>46054</v>
      </c>
      <c r="Q174">
        <v>4</v>
      </c>
      <c r="R174">
        <v>2</v>
      </c>
      <c r="S174">
        <v>25</v>
      </c>
      <c r="T174" t="str">
        <f>IF(RecruitmentTable[[#This Row],[Final Status]]="In process","Screening",IF(RecruitmentTable[[#This Row],[Final Status]]="Selected","Offer","Rejected"))</f>
        <v>Offer</v>
      </c>
      <c r="U174">
        <f>IF(RecruitmentTable[[#This Row],[Final Status]]="Selected",1,0)</f>
        <v>1</v>
      </c>
    </row>
    <row r="175" spans="1:21" x14ac:dyDescent="0.25">
      <c r="A175" t="s">
        <v>357</v>
      </c>
      <c r="B175" t="s">
        <v>219</v>
      </c>
      <c r="C175" s="1">
        <v>46267</v>
      </c>
      <c r="D175" t="s">
        <v>65</v>
      </c>
      <c r="E175" t="s">
        <v>42</v>
      </c>
      <c r="F175" t="s">
        <v>100</v>
      </c>
      <c r="G175" t="s">
        <v>71</v>
      </c>
      <c r="H175" t="s">
        <v>25</v>
      </c>
      <c r="I175" t="s">
        <v>37</v>
      </c>
      <c r="J175" t="s">
        <v>38</v>
      </c>
      <c r="K175" s="1"/>
      <c r="L175" t="s">
        <v>38</v>
      </c>
      <c r="M175" t="s">
        <v>37</v>
      </c>
      <c r="O175" t="s">
        <v>38</v>
      </c>
      <c r="T175" t="str">
        <f>IF(RecruitmentTable[[#This Row],[Final Status]]="In process","Screening",IF(RecruitmentTable[[#This Row],[Final Status]]="Selected","Offer","Rejected"))</f>
        <v>Rejected</v>
      </c>
      <c r="U175">
        <f>IF(RecruitmentTable[[#This Row],[Final Status]]="Selected",1,0)</f>
        <v>0</v>
      </c>
    </row>
    <row r="176" spans="1:21" x14ac:dyDescent="0.25">
      <c r="A176" t="s">
        <v>358</v>
      </c>
      <c r="B176" t="s">
        <v>359</v>
      </c>
      <c r="C176" s="1">
        <v>46041</v>
      </c>
      <c r="D176" t="s">
        <v>21</v>
      </c>
      <c r="E176" t="s">
        <v>22</v>
      </c>
      <c r="F176" t="s">
        <v>23</v>
      </c>
      <c r="G176" t="s">
        <v>71</v>
      </c>
      <c r="H176" t="s">
        <v>62</v>
      </c>
      <c r="I176" t="s">
        <v>37</v>
      </c>
      <c r="J176" t="s">
        <v>38</v>
      </c>
      <c r="K176" s="1"/>
      <c r="L176" t="s">
        <v>38</v>
      </c>
      <c r="M176" t="s">
        <v>37</v>
      </c>
      <c r="O176" t="s">
        <v>38</v>
      </c>
      <c r="T176" t="str">
        <f>IF(RecruitmentTable[[#This Row],[Final Status]]="In process","Screening",IF(RecruitmentTable[[#This Row],[Final Status]]="Selected","Offer","Rejected"))</f>
        <v>Rejected</v>
      </c>
      <c r="U176">
        <f>IF(RecruitmentTable[[#This Row],[Final Status]]="Selected",1,0)</f>
        <v>0</v>
      </c>
    </row>
    <row r="177" spans="1:21" x14ac:dyDescent="0.25">
      <c r="A177" t="s">
        <v>360</v>
      </c>
      <c r="B177" t="s">
        <v>107</v>
      </c>
      <c r="C177" s="1">
        <v>46111</v>
      </c>
      <c r="D177" t="s">
        <v>56</v>
      </c>
      <c r="E177" t="s">
        <v>34</v>
      </c>
      <c r="F177" t="s">
        <v>35</v>
      </c>
      <c r="G177" t="s">
        <v>36</v>
      </c>
      <c r="H177" t="s">
        <v>25</v>
      </c>
      <c r="I177" t="s">
        <v>26</v>
      </c>
      <c r="J177" t="s">
        <v>27</v>
      </c>
      <c r="K177" s="1">
        <v>46115</v>
      </c>
      <c r="L177" t="s">
        <v>28</v>
      </c>
      <c r="M177" t="s">
        <v>37</v>
      </c>
      <c r="O177" t="s">
        <v>38</v>
      </c>
      <c r="Q177">
        <v>4</v>
      </c>
      <c r="T177" t="str">
        <f>IF(RecruitmentTable[[#This Row],[Final Status]]="In process","Screening",IF(RecruitmentTable[[#This Row],[Final Status]]="Selected","Offer","Rejected"))</f>
        <v>Rejected</v>
      </c>
      <c r="U177">
        <f>IF(RecruitmentTable[[#This Row],[Final Status]]="Selected",1,0)</f>
        <v>0</v>
      </c>
    </row>
    <row r="178" spans="1:21" x14ac:dyDescent="0.25">
      <c r="A178" t="s">
        <v>361</v>
      </c>
      <c r="B178" t="s">
        <v>80</v>
      </c>
      <c r="C178" s="1">
        <v>46124</v>
      </c>
      <c r="D178" t="s">
        <v>41</v>
      </c>
      <c r="E178" t="s">
        <v>42</v>
      </c>
      <c r="F178" t="s">
        <v>50</v>
      </c>
      <c r="G178" t="s">
        <v>36</v>
      </c>
      <c r="H178" t="s">
        <v>51</v>
      </c>
      <c r="I178" t="s">
        <v>37</v>
      </c>
      <c r="J178" t="s">
        <v>38</v>
      </c>
      <c r="K178" s="1"/>
      <c r="L178" t="s">
        <v>38</v>
      </c>
      <c r="M178" t="s">
        <v>37</v>
      </c>
      <c r="O178" t="s">
        <v>38</v>
      </c>
      <c r="T178" t="str">
        <f>IF(RecruitmentTable[[#This Row],[Final Status]]="In process","Screening",IF(RecruitmentTable[[#This Row],[Final Status]]="Selected","Offer","Rejected"))</f>
        <v>Rejected</v>
      </c>
      <c r="U178">
        <f>IF(RecruitmentTable[[#This Row],[Final Status]]="Selected",1,0)</f>
        <v>0</v>
      </c>
    </row>
    <row r="179" spans="1:21" x14ac:dyDescent="0.25">
      <c r="A179" t="s">
        <v>362</v>
      </c>
      <c r="B179" t="s">
        <v>363</v>
      </c>
      <c r="C179" s="1">
        <v>46107</v>
      </c>
      <c r="D179" t="s">
        <v>33</v>
      </c>
      <c r="E179" t="s">
        <v>34</v>
      </c>
      <c r="F179" t="s">
        <v>35</v>
      </c>
      <c r="G179" t="s">
        <v>36</v>
      </c>
      <c r="H179" t="s">
        <v>25</v>
      </c>
      <c r="I179" t="s">
        <v>37</v>
      </c>
      <c r="J179" t="s">
        <v>38</v>
      </c>
      <c r="K179" s="1"/>
      <c r="L179" t="s">
        <v>38</v>
      </c>
      <c r="M179" t="s">
        <v>37</v>
      </c>
      <c r="O179" t="s">
        <v>38</v>
      </c>
      <c r="T179" t="str">
        <f>IF(RecruitmentTable[[#This Row],[Final Status]]="In process","Screening",IF(RecruitmentTable[[#This Row],[Final Status]]="Selected","Offer","Rejected"))</f>
        <v>Rejected</v>
      </c>
      <c r="U179">
        <f>IF(RecruitmentTable[[#This Row],[Final Status]]="Selected",1,0)</f>
        <v>0</v>
      </c>
    </row>
    <row r="180" spans="1:21" x14ac:dyDescent="0.25">
      <c r="A180" t="s">
        <v>364</v>
      </c>
      <c r="B180" t="s">
        <v>321</v>
      </c>
      <c r="C180" s="1">
        <v>46250</v>
      </c>
      <c r="D180" t="s">
        <v>65</v>
      </c>
      <c r="E180" t="s">
        <v>42</v>
      </c>
      <c r="F180" t="s">
        <v>23</v>
      </c>
      <c r="G180" t="s">
        <v>71</v>
      </c>
      <c r="H180" t="s">
        <v>51</v>
      </c>
      <c r="I180" t="s">
        <v>37</v>
      </c>
      <c r="J180" t="s">
        <v>38</v>
      </c>
      <c r="K180" s="1"/>
      <c r="L180" t="s">
        <v>38</v>
      </c>
      <c r="M180" t="s">
        <v>37</v>
      </c>
      <c r="O180" t="s">
        <v>38</v>
      </c>
      <c r="T180" t="str">
        <f>IF(RecruitmentTable[[#This Row],[Final Status]]="In process","Screening",IF(RecruitmentTable[[#This Row],[Final Status]]="Selected","Offer","Rejected"))</f>
        <v>Rejected</v>
      </c>
      <c r="U180">
        <f>IF(RecruitmentTable[[#This Row],[Final Status]]="Selected",1,0)</f>
        <v>0</v>
      </c>
    </row>
    <row r="181" spans="1:21" x14ac:dyDescent="0.25">
      <c r="A181" t="s">
        <v>365</v>
      </c>
      <c r="B181" t="s">
        <v>366</v>
      </c>
      <c r="C181" s="1">
        <v>46043</v>
      </c>
      <c r="D181" t="s">
        <v>41</v>
      </c>
      <c r="E181" t="s">
        <v>42</v>
      </c>
      <c r="F181" t="s">
        <v>50</v>
      </c>
      <c r="G181" t="s">
        <v>24</v>
      </c>
      <c r="H181" t="s">
        <v>44</v>
      </c>
      <c r="I181" t="s">
        <v>37</v>
      </c>
      <c r="J181" t="s">
        <v>38</v>
      </c>
      <c r="K181" s="1"/>
      <c r="L181" t="s">
        <v>38</v>
      </c>
      <c r="M181" t="s">
        <v>37</v>
      </c>
      <c r="O181" t="s">
        <v>38</v>
      </c>
      <c r="T181" t="str">
        <f>IF(RecruitmentTable[[#This Row],[Final Status]]="In process","Screening",IF(RecruitmentTable[[#This Row],[Final Status]]="Selected","Offer","Rejected"))</f>
        <v>Rejected</v>
      </c>
      <c r="U181">
        <f>IF(RecruitmentTable[[#This Row],[Final Status]]="Selected",1,0)</f>
        <v>0</v>
      </c>
    </row>
    <row r="182" spans="1:21" x14ac:dyDescent="0.25">
      <c r="A182" t="s">
        <v>367</v>
      </c>
      <c r="B182" t="s">
        <v>368</v>
      </c>
      <c r="C182" s="1">
        <v>46073</v>
      </c>
      <c r="D182" t="s">
        <v>41</v>
      </c>
      <c r="E182" t="s">
        <v>42</v>
      </c>
      <c r="F182" t="s">
        <v>43</v>
      </c>
      <c r="G182" t="s">
        <v>66</v>
      </c>
      <c r="H182" t="s">
        <v>51</v>
      </c>
      <c r="I182" t="s">
        <v>26</v>
      </c>
      <c r="J182" t="s">
        <v>27</v>
      </c>
      <c r="K182" s="1">
        <v>46090</v>
      </c>
      <c r="L182" t="s">
        <v>28</v>
      </c>
      <c r="M182" t="s">
        <v>37</v>
      </c>
      <c r="O182" t="s">
        <v>38</v>
      </c>
      <c r="Q182">
        <v>17</v>
      </c>
      <c r="T182" t="str">
        <f>IF(RecruitmentTable[[#This Row],[Final Status]]="In process","Screening",IF(RecruitmentTable[[#This Row],[Final Status]]="Selected","Offer","Rejected"))</f>
        <v>Rejected</v>
      </c>
      <c r="U182">
        <f>IF(RecruitmentTable[[#This Row],[Final Status]]="Selected",1,0)</f>
        <v>0</v>
      </c>
    </row>
    <row r="183" spans="1:21" x14ac:dyDescent="0.25">
      <c r="A183" t="s">
        <v>369</v>
      </c>
      <c r="B183" t="s">
        <v>370</v>
      </c>
      <c r="C183" s="1">
        <v>46158</v>
      </c>
      <c r="D183" t="s">
        <v>56</v>
      </c>
      <c r="E183" t="s">
        <v>34</v>
      </c>
      <c r="F183" t="s">
        <v>50</v>
      </c>
      <c r="G183" t="s">
        <v>36</v>
      </c>
      <c r="H183" t="s">
        <v>72</v>
      </c>
      <c r="I183" t="s">
        <v>37</v>
      </c>
      <c r="J183" t="s">
        <v>38</v>
      </c>
      <c r="K183" s="1"/>
      <c r="L183" t="s">
        <v>38</v>
      </c>
      <c r="M183" t="s">
        <v>37</v>
      </c>
      <c r="O183" t="s">
        <v>38</v>
      </c>
      <c r="T183" t="str">
        <f>IF(RecruitmentTable[[#This Row],[Final Status]]="In process","Screening",IF(RecruitmentTable[[#This Row],[Final Status]]="Selected","Offer","Rejected"))</f>
        <v>Rejected</v>
      </c>
      <c r="U183">
        <f>IF(RecruitmentTable[[#This Row],[Final Status]]="Selected",1,0)</f>
        <v>0</v>
      </c>
    </row>
    <row r="184" spans="1:21" x14ac:dyDescent="0.25">
      <c r="A184" t="s">
        <v>371</v>
      </c>
      <c r="B184" t="s">
        <v>372</v>
      </c>
      <c r="C184" s="1">
        <v>46130</v>
      </c>
      <c r="D184" t="s">
        <v>41</v>
      </c>
      <c r="E184" t="s">
        <v>42</v>
      </c>
      <c r="F184" t="s">
        <v>50</v>
      </c>
      <c r="G184" t="s">
        <v>36</v>
      </c>
      <c r="H184" t="s">
        <v>72</v>
      </c>
      <c r="I184" t="s">
        <v>26</v>
      </c>
      <c r="J184" t="s">
        <v>27</v>
      </c>
      <c r="K184" s="1">
        <v>46137</v>
      </c>
      <c r="L184" t="s">
        <v>28</v>
      </c>
      <c r="M184" t="s">
        <v>37</v>
      </c>
      <c r="O184" t="s">
        <v>38</v>
      </c>
      <c r="Q184">
        <v>7</v>
      </c>
      <c r="T184" t="str">
        <f>IF(RecruitmentTable[[#This Row],[Final Status]]="In process","Screening",IF(RecruitmentTable[[#This Row],[Final Status]]="Selected","Offer","Rejected"))</f>
        <v>Rejected</v>
      </c>
      <c r="U184">
        <f>IF(RecruitmentTable[[#This Row],[Final Status]]="Selected",1,0)</f>
        <v>0</v>
      </c>
    </row>
    <row r="185" spans="1:21" x14ac:dyDescent="0.25">
      <c r="A185" t="s">
        <v>373</v>
      </c>
      <c r="B185" t="s">
        <v>374</v>
      </c>
      <c r="C185" s="1">
        <v>46194</v>
      </c>
      <c r="D185" t="s">
        <v>41</v>
      </c>
      <c r="E185" t="s">
        <v>42</v>
      </c>
      <c r="F185" t="s">
        <v>100</v>
      </c>
      <c r="G185" t="s">
        <v>36</v>
      </c>
      <c r="H185" t="s">
        <v>25</v>
      </c>
      <c r="I185" t="s">
        <v>37</v>
      </c>
      <c r="J185" t="s">
        <v>38</v>
      </c>
      <c r="K185" s="1"/>
      <c r="L185" t="s">
        <v>38</v>
      </c>
      <c r="M185" t="s">
        <v>37</v>
      </c>
      <c r="O185" t="s">
        <v>38</v>
      </c>
      <c r="T185" t="str">
        <f>IF(RecruitmentTable[[#This Row],[Final Status]]="In process","Screening",IF(RecruitmentTable[[#This Row],[Final Status]]="Selected","Offer","Rejected"))</f>
        <v>Rejected</v>
      </c>
      <c r="U185">
        <f>IF(RecruitmentTable[[#This Row],[Final Status]]="Selected",1,0)</f>
        <v>0</v>
      </c>
    </row>
    <row r="186" spans="1:21" x14ac:dyDescent="0.25">
      <c r="A186" t="s">
        <v>375</v>
      </c>
      <c r="B186" t="s">
        <v>376</v>
      </c>
      <c r="C186" s="1">
        <v>46031</v>
      </c>
      <c r="D186" t="s">
        <v>65</v>
      </c>
      <c r="E186" t="s">
        <v>42</v>
      </c>
      <c r="F186" t="s">
        <v>43</v>
      </c>
      <c r="G186" t="s">
        <v>24</v>
      </c>
      <c r="H186" t="s">
        <v>51</v>
      </c>
      <c r="I186" t="s">
        <v>37</v>
      </c>
      <c r="J186" t="s">
        <v>38</v>
      </c>
      <c r="K186" s="1"/>
      <c r="L186" t="s">
        <v>38</v>
      </c>
      <c r="M186" t="s">
        <v>37</v>
      </c>
      <c r="O186" t="s">
        <v>38</v>
      </c>
      <c r="T186" t="str">
        <f>IF(RecruitmentTable[[#This Row],[Final Status]]="In process","Screening",IF(RecruitmentTable[[#This Row],[Final Status]]="Selected","Offer","Rejected"))</f>
        <v>Rejected</v>
      </c>
      <c r="U186">
        <f>IF(RecruitmentTable[[#This Row],[Final Status]]="Selected",1,0)</f>
        <v>0</v>
      </c>
    </row>
    <row r="187" spans="1:21" x14ac:dyDescent="0.25">
      <c r="A187" t="s">
        <v>377</v>
      </c>
      <c r="B187" t="s">
        <v>378</v>
      </c>
      <c r="C187" s="1">
        <v>46176</v>
      </c>
      <c r="D187" t="s">
        <v>56</v>
      </c>
      <c r="E187" t="s">
        <v>34</v>
      </c>
      <c r="F187" t="s">
        <v>50</v>
      </c>
      <c r="G187" t="s">
        <v>84</v>
      </c>
      <c r="H187" t="s">
        <v>44</v>
      </c>
      <c r="I187" t="s">
        <v>26</v>
      </c>
      <c r="J187" t="s">
        <v>27</v>
      </c>
      <c r="K187" s="1">
        <v>46181</v>
      </c>
      <c r="L187" t="s">
        <v>28</v>
      </c>
      <c r="M187" t="s">
        <v>29</v>
      </c>
      <c r="N187" s="1">
        <v>46187</v>
      </c>
      <c r="O187" t="s">
        <v>30</v>
      </c>
      <c r="P187" s="1">
        <v>46211</v>
      </c>
      <c r="Q187">
        <v>5</v>
      </c>
      <c r="R187">
        <v>6</v>
      </c>
      <c r="S187">
        <v>24</v>
      </c>
      <c r="T187" t="str">
        <f>IF(RecruitmentTable[[#This Row],[Final Status]]="In process","Screening",IF(RecruitmentTable[[#This Row],[Final Status]]="Selected","Offer","Rejected"))</f>
        <v>Offer</v>
      </c>
      <c r="U187">
        <f>IF(RecruitmentTable[[#This Row],[Final Status]]="Selected",1,0)</f>
        <v>1</v>
      </c>
    </row>
    <row r="188" spans="1:21" x14ac:dyDescent="0.25">
      <c r="A188" t="s">
        <v>379</v>
      </c>
      <c r="B188" t="s">
        <v>380</v>
      </c>
      <c r="C188" s="1">
        <v>46130</v>
      </c>
      <c r="D188" t="s">
        <v>33</v>
      </c>
      <c r="E188" t="s">
        <v>34</v>
      </c>
      <c r="F188" t="s">
        <v>57</v>
      </c>
      <c r="G188" t="s">
        <v>24</v>
      </c>
      <c r="H188" t="s">
        <v>25</v>
      </c>
      <c r="I188" t="s">
        <v>37</v>
      </c>
      <c r="J188" t="s">
        <v>38</v>
      </c>
      <c r="K188" s="1"/>
      <c r="L188" t="s">
        <v>38</v>
      </c>
      <c r="M188" t="s">
        <v>37</v>
      </c>
      <c r="O188" t="s">
        <v>38</v>
      </c>
      <c r="T188" t="str">
        <f>IF(RecruitmentTable[[#This Row],[Final Status]]="In process","Screening",IF(RecruitmentTable[[#This Row],[Final Status]]="Selected","Offer","Rejected"))</f>
        <v>Rejected</v>
      </c>
      <c r="U188">
        <f>IF(RecruitmentTable[[#This Row],[Final Status]]="Selected",1,0)</f>
        <v>0</v>
      </c>
    </row>
    <row r="189" spans="1:21" x14ac:dyDescent="0.25">
      <c r="A189" t="s">
        <v>381</v>
      </c>
      <c r="B189" t="s">
        <v>382</v>
      </c>
      <c r="C189" s="1">
        <v>46160</v>
      </c>
      <c r="D189" t="s">
        <v>56</v>
      </c>
      <c r="E189" t="s">
        <v>34</v>
      </c>
      <c r="F189" t="s">
        <v>57</v>
      </c>
      <c r="G189" t="s">
        <v>36</v>
      </c>
      <c r="H189" t="s">
        <v>72</v>
      </c>
      <c r="I189" t="s">
        <v>37</v>
      </c>
      <c r="J189" t="s">
        <v>38</v>
      </c>
      <c r="K189" s="1"/>
      <c r="L189" t="s">
        <v>38</v>
      </c>
      <c r="M189" t="s">
        <v>37</v>
      </c>
      <c r="O189" t="s">
        <v>38</v>
      </c>
      <c r="T189" t="str">
        <f>IF(RecruitmentTable[[#This Row],[Final Status]]="In process","Screening",IF(RecruitmentTable[[#This Row],[Final Status]]="Selected","Offer","Rejected"))</f>
        <v>Rejected</v>
      </c>
      <c r="U189">
        <f>IF(RecruitmentTable[[#This Row],[Final Status]]="Selected",1,0)</f>
        <v>0</v>
      </c>
    </row>
    <row r="190" spans="1:21" x14ac:dyDescent="0.25">
      <c r="A190" t="s">
        <v>383</v>
      </c>
      <c r="B190" t="s">
        <v>384</v>
      </c>
      <c r="C190" s="1">
        <v>46107</v>
      </c>
      <c r="D190" t="s">
        <v>65</v>
      </c>
      <c r="E190" t="s">
        <v>42</v>
      </c>
      <c r="F190" t="s">
        <v>35</v>
      </c>
      <c r="G190" t="s">
        <v>84</v>
      </c>
      <c r="H190" t="s">
        <v>72</v>
      </c>
      <c r="I190" t="s">
        <v>37</v>
      </c>
      <c r="J190" t="s">
        <v>38</v>
      </c>
      <c r="K190" s="1"/>
      <c r="L190" t="s">
        <v>38</v>
      </c>
      <c r="M190" t="s">
        <v>37</v>
      </c>
      <c r="O190" t="s">
        <v>38</v>
      </c>
      <c r="T190" t="str">
        <f>IF(RecruitmentTable[[#This Row],[Final Status]]="In process","Screening",IF(RecruitmentTable[[#This Row],[Final Status]]="Selected","Offer","Rejected"))</f>
        <v>Rejected</v>
      </c>
      <c r="U190">
        <f>IF(RecruitmentTable[[#This Row],[Final Status]]="Selected",1,0)</f>
        <v>0</v>
      </c>
    </row>
    <row r="191" spans="1:21" x14ac:dyDescent="0.25">
      <c r="A191" t="s">
        <v>385</v>
      </c>
      <c r="B191" t="s">
        <v>386</v>
      </c>
      <c r="C191" s="1">
        <v>46210</v>
      </c>
      <c r="D191" t="s">
        <v>21</v>
      </c>
      <c r="E191" t="s">
        <v>22</v>
      </c>
      <c r="F191" t="s">
        <v>43</v>
      </c>
      <c r="G191" t="s">
        <v>36</v>
      </c>
      <c r="H191" t="s">
        <v>25</v>
      </c>
      <c r="I191" t="s">
        <v>26</v>
      </c>
      <c r="J191" t="s">
        <v>27</v>
      </c>
      <c r="K191" s="1">
        <v>46216</v>
      </c>
      <c r="L191" t="s">
        <v>28</v>
      </c>
      <c r="M191" t="s">
        <v>37</v>
      </c>
      <c r="O191" t="s">
        <v>38</v>
      </c>
      <c r="Q191">
        <v>6</v>
      </c>
      <c r="T191" t="str">
        <f>IF(RecruitmentTable[[#This Row],[Final Status]]="In process","Screening",IF(RecruitmentTable[[#This Row],[Final Status]]="Selected","Offer","Rejected"))</f>
        <v>Rejected</v>
      </c>
      <c r="U191">
        <f>IF(RecruitmentTable[[#This Row],[Final Status]]="Selected",1,0)</f>
        <v>0</v>
      </c>
    </row>
    <row r="192" spans="1:21" x14ac:dyDescent="0.25">
      <c r="A192" t="s">
        <v>387</v>
      </c>
      <c r="B192" t="s">
        <v>315</v>
      </c>
      <c r="C192" s="1">
        <v>46092</v>
      </c>
      <c r="D192" t="s">
        <v>56</v>
      </c>
      <c r="E192" t="s">
        <v>34</v>
      </c>
      <c r="F192" t="s">
        <v>35</v>
      </c>
      <c r="G192" t="s">
        <v>24</v>
      </c>
      <c r="H192" t="s">
        <v>51</v>
      </c>
      <c r="I192" t="s">
        <v>37</v>
      </c>
      <c r="J192" t="s">
        <v>38</v>
      </c>
      <c r="K192" s="1"/>
      <c r="L192" t="s">
        <v>38</v>
      </c>
      <c r="M192" t="s">
        <v>37</v>
      </c>
      <c r="O192" t="s">
        <v>38</v>
      </c>
      <c r="T192" t="str">
        <f>IF(RecruitmentTable[[#This Row],[Final Status]]="In process","Screening",IF(RecruitmentTable[[#This Row],[Final Status]]="Selected","Offer","Rejected"))</f>
        <v>Rejected</v>
      </c>
      <c r="U192">
        <f>IF(RecruitmentTable[[#This Row],[Final Status]]="Selected",1,0)</f>
        <v>0</v>
      </c>
    </row>
    <row r="193" spans="1:21" x14ac:dyDescent="0.25">
      <c r="A193" t="s">
        <v>388</v>
      </c>
      <c r="B193" t="s">
        <v>389</v>
      </c>
      <c r="C193" s="1">
        <v>46182</v>
      </c>
      <c r="D193" t="s">
        <v>65</v>
      </c>
      <c r="E193" t="s">
        <v>42</v>
      </c>
      <c r="F193" t="s">
        <v>50</v>
      </c>
      <c r="G193" t="s">
        <v>47</v>
      </c>
      <c r="H193" t="s">
        <v>44</v>
      </c>
      <c r="I193" t="s">
        <v>26</v>
      </c>
      <c r="J193" t="s">
        <v>27</v>
      </c>
      <c r="K193" s="1">
        <v>46192</v>
      </c>
      <c r="L193" t="s">
        <v>28</v>
      </c>
      <c r="M193" t="s">
        <v>37</v>
      </c>
      <c r="O193" t="s">
        <v>38</v>
      </c>
      <c r="Q193">
        <v>10</v>
      </c>
      <c r="T193" t="str">
        <f>IF(RecruitmentTable[[#This Row],[Final Status]]="In process","Screening",IF(RecruitmentTable[[#This Row],[Final Status]]="Selected","Offer","Rejected"))</f>
        <v>Rejected</v>
      </c>
      <c r="U193">
        <f>IF(RecruitmentTable[[#This Row],[Final Status]]="Selected",1,0)</f>
        <v>0</v>
      </c>
    </row>
    <row r="194" spans="1:21" x14ac:dyDescent="0.25">
      <c r="A194" t="s">
        <v>390</v>
      </c>
      <c r="B194" t="s">
        <v>229</v>
      </c>
      <c r="C194" s="1">
        <v>46124</v>
      </c>
      <c r="D194" t="s">
        <v>65</v>
      </c>
      <c r="E194" t="s">
        <v>42</v>
      </c>
      <c r="F194" t="s">
        <v>35</v>
      </c>
      <c r="G194" t="s">
        <v>71</v>
      </c>
      <c r="H194" t="s">
        <v>44</v>
      </c>
      <c r="I194" t="s">
        <v>26</v>
      </c>
      <c r="J194" t="s">
        <v>38</v>
      </c>
      <c r="K194" s="1"/>
      <c r="L194" t="s">
        <v>58</v>
      </c>
      <c r="M194" t="s">
        <v>59</v>
      </c>
      <c r="O194" t="s">
        <v>38</v>
      </c>
      <c r="T194" t="str">
        <f>IF(RecruitmentTable[[#This Row],[Final Status]]="In process","Screening",IF(RecruitmentTable[[#This Row],[Final Status]]="Selected","Offer","Rejected"))</f>
        <v>Screening</v>
      </c>
      <c r="U194">
        <f>IF(RecruitmentTable[[#This Row],[Final Status]]="Selected",1,0)</f>
        <v>0</v>
      </c>
    </row>
    <row r="195" spans="1:21" x14ac:dyDescent="0.25">
      <c r="A195" t="s">
        <v>391</v>
      </c>
      <c r="B195" t="s">
        <v>392</v>
      </c>
      <c r="C195" s="1">
        <v>46230</v>
      </c>
      <c r="D195" t="s">
        <v>83</v>
      </c>
      <c r="E195" t="s">
        <v>34</v>
      </c>
      <c r="F195" t="s">
        <v>23</v>
      </c>
      <c r="G195" t="s">
        <v>84</v>
      </c>
      <c r="H195" t="s">
        <v>44</v>
      </c>
      <c r="I195" t="s">
        <v>26</v>
      </c>
      <c r="J195" t="s">
        <v>27</v>
      </c>
      <c r="K195" s="1">
        <v>46247</v>
      </c>
      <c r="L195" t="s">
        <v>28</v>
      </c>
      <c r="M195" t="s">
        <v>37</v>
      </c>
      <c r="O195" t="s">
        <v>38</v>
      </c>
      <c r="Q195">
        <v>17</v>
      </c>
      <c r="T195" t="str">
        <f>IF(RecruitmentTable[[#This Row],[Final Status]]="In process","Screening",IF(RecruitmentTable[[#This Row],[Final Status]]="Selected","Offer","Rejected"))</f>
        <v>Rejected</v>
      </c>
      <c r="U195">
        <f>IF(RecruitmentTable[[#This Row],[Final Status]]="Selected",1,0)</f>
        <v>0</v>
      </c>
    </row>
    <row r="196" spans="1:21" x14ac:dyDescent="0.25">
      <c r="A196" t="s">
        <v>393</v>
      </c>
      <c r="B196" t="s">
        <v>394</v>
      </c>
      <c r="C196" s="1">
        <v>46137</v>
      </c>
      <c r="D196" t="s">
        <v>41</v>
      </c>
      <c r="E196" t="s">
        <v>42</v>
      </c>
      <c r="F196" t="s">
        <v>100</v>
      </c>
      <c r="G196" t="s">
        <v>66</v>
      </c>
      <c r="H196" t="s">
        <v>44</v>
      </c>
      <c r="I196" t="s">
        <v>26</v>
      </c>
      <c r="J196" t="s">
        <v>27</v>
      </c>
      <c r="K196" s="1">
        <v>46141</v>
      </c>
      <c r="L196" t="s">
        <v>28</v>
      </c>
      <c r="M196" t="s">
        <v>29</v>
      </c>
      <c r="N196" s="1">
        <v>46147</v>
      </c>
      <c r="O196" t="s">
        <v>30</v>
      </c>
      <c r="P196" s="1">
        <v>46172</v>
      </c>
      <c r="Q196">
        <v>4</v>
      </c>
      <c r="R196">
        <v>6</v>
      </c>
      <c r="S196">
        <v>25</v>
      </c>
      <c r="T196" t="str">
        <f>IF(RecruitmentTable[[#This Row],[Final Status]]="In process","Screening",IF(RecruitmentTable[[#This Row],[Final Status]]="Selected","Offer","Rejected"))</f>
        <v>Offer</v>
      </c>
      <c r="U196">
        <f>IF(RecruitmentTable[[#This Row],[Final Status]]="Selected",1,0)</f>
        <v>1</v>
      </c>
    </row>
    <row r="197" spans="1:21" x14ac:dyDescent="0.25">
      <c r="A197" t="s">
        <v>395</v>
      </c>
      <c r="B197" t="s">
        <v>298</v>
      </c>
      <c r="C197" s="1">
        <v>46248</v>
      </c>
      <c r="D197" t="s">
        <v>41</v>
      </c>
      <c r="E197" t="s">
        <v>42</v>
      </c>
      <c r="F197" t="s">
        <v>57</v>
      </c>
      <c r="G197" t="s">
        <v>24</v>
      </c>
      <c r="H197" t="s">
        <v>25</v>
      </c>
      <c r="I197" t="s">
        <v>26</v>
      </c>
      <c r="J197" t="s">
        <v>27</v>
      </c>
      <c r="K197" s="1">
        <v>46260</v>
      </c>
      <c r="L197" t="s">
        <v>28</v>
      </c>
      <c r="M197" t="s">
        <v>37</v>
      </c>
      <c r="O197" t="s">
        <v>38</v>
      </c>
      <c r="Q197">
        <v>12</v>
      </c>
      <c r="T197" t="str">
        <f>IF(RecruitmentTable[[#This Row],[Final Status]]="In process","Screening",IF(RecruitmentTable[[#This Row],[Final Status]]="Selected","Offer","Rejected"))</f>
        <v>Rejected</v>
      </c>
      <c r="U197">
        <f>IF(RecruitmentTable[[#This Row],[Final Status]]="Selected",1,0)</f>
        <v>0</v>
      </c>
    </row>
    <row r="198" spans="1:21" x14ac:dyDescent="0.25">
      <c r="A198" t="s">
        <v>396</v>
      </c>
      <c r="B198" t="s">
        <v>115</v>
      </c>
      <c r="C198" s="1">
        <v>46202</v>
      </c>
      <c r="D198" t="s">
        <v>56</v>
      </c>
      <c r="E198" t="s">
        <v>34</v>
      </c>
      <c r="F198" t="s">
        <v>100</v>
      </c>
      <c r="G198" t="s">
        <v>66</v>
      </c>
      <c r="H198" t="s">
        <v>62</v>
      </c>
      <c r="I198" t="s">
        <v>37</v>
      </c>
      <c r="J198" t="s">
        <v>38</v>
      </c>
      <c r="K198" s="1"/>
      <c r="L198" t="s">
        <v>38</v>
      </c>
      <c r="M198" t="s">
        <v>37</v>
      </c>
      <c r="O198" t="s">
        <v>38</v>
      </c>
      <c r="T198" t="str">
        <f>IF(RecruitmentTable[[#This Row],[Final Status]]="In process","Screening",IF(RecruitmentTable[[#This Row],[Final Status]]="Selected","Offer","Rejected"))</f>
        <v>Rejected</v>
      </c>
      <c r="U198">
        <f>IF(RecruitmentTable[[#This Row],[Final Status]]="Selected",1,0)</f>
        <v>0</v>
      </c>
    </row>
    <row r="199" spans="1:21" x14ac:dyDescent="0.25">
      <c r="A199" t="s">
        <v>397</v>
      </c>
      <c r="B199" t="s">
        <v>305</v>
      </c>
      <c r="C199" s="1">
        <v>46123</v>
      </c>
      <c r="D199" t="s">
        <v>83</v>
      </c>
      <c r="E199" t="s">
        <v>34</v>
      </c>
      <c r="F199" t="s">
        <v>43</v>
      </c>
      <c r="G199" t="s">
        <v>36</v>
      </c>
      <c r="H199" t="s">
        <v>51</v>
      </c>
      <c r="I199" t="s">
        <v>26</v>
      </c>
      <c r="J199" t="s">
        <v>27</v>
      </c>
      <c r="K199" s="1">
        <v>46140</v>
      </c>
      <c r="L199" t="s">
        <v>28</v>
      </c>
      <c r="M199" t="s">
        <v>37</v>
      </c>
      <c r="O199" t="s">
        <v>38</v>
      </c>
      <c r="Q199">
        <v>17</v>
      </c>
      <c r="T199" t="str">
        <f>IF(RecruitmentTable[[#This Row],[Final Status]]="In process","Screening",IF(RecruitmentTable[[#This Row],[Final Status]]="Selected","Offer","Rejected"))</f>
        <v>Rejected</v>
      </c>
      <c r="U199">
        <f>IF(RecruitmentTable[[#This Row],[Final Status]]="Selected",1,0)</f>
        <v>0</v>
      </c>
    </row>
    <row r="200" spans="1:21" x14ac:dyDescent="0.25">
      <c r="A200" t="s">
        <v>398</v>
      </c>
      <c r="B200" t="s">
        <v>399</v>
      </c>
      <c r="C200" s="1">
        <v>46029</v>
      </c>
      <c r="D200" t="s">
        <v>56</v>
      </c>
      <c r="E200" t="s">
        <v>34</v>
      </c>
      <c r="F200" t="s">
        <v>43</v>
      </c>
      <c r="G200" t="s">
        <v>24</v>
      </c>
      <c r="H200" t="s">
        <v>51</v>
      </c>
      <c r="I200" t="s">
        <v>26</v>
      </c>
      <c r="J200" t="s">
        <v>27</v>
      </c>
      <c r="K200" s="1">
        <v>46034</v>
      </c>
      <c r="L200" t="s">
        <v>28</v>
      </c>
      <c r="M200" t="s">
        <v>37</v>
      </c>
      <c r="O200" t="s">
        <v>38</v>
      </c>
      <c r="Q200">
        <v>5</v>
      </c>
      <c r="T200" t="str">
        <f>IF(RecruitmentTable[[#This Row],[Final Status]]="In process","Screening",IF(RecruitmentTable[[#This Row],[Final Status]]="Selected","Offer","Rejected"))</f>
        <v>Rejected</v>
      </c>
      <c r="U200">
        <f>IF(RecruitmentTable[[#This Row],[Final Status]]="Selected",1,0)</f>
        <v>0</v>
      </c>
    </row>
    <row r="201" spans="1:21" x14ac:dyDescent="0.25">
      <c r="A201" t="s">
        <v>400</v>
      </c>
      <c r="B201" t="s">
        <v>401</v>
      </c>
      <c r="C201" s="1">
        <v>46275</v>
      </c>
      <c r="D201" t="s">
        <v>33</v>
      </c>
      <c r="E201" t="s">
        <v>34</v>
      </c>
      <c r="F201" t="s">
        <v>35</v>
      </c>
      <c r="G201" t="s">
        <v>66</v>
      </c>
      <c r="H201" t="s">
        <v>25</v>
      </c>
      <c r="I201" t="s">
        <v>26</v>
      </c>
      <c r="J201" t="s">
        <v>38</v>
      </c>
      <c r="K201" s="1"/>
      <c r="L201" t="s">
        <v>58</v>
      </c>
      <c r="M201" t="s">
        <v>59</v>
      </c>
      <c r="O201" t="s">
        <v>38</v>
      </c>
      <c r="T201" t="str">
        <f>IF(RecruitmentTable[[#This Row],[Final Status]]="In process","Screening",IF(RecruitmentTable[[#This Row],[Final Status]]="Selected","Offer","Rejected"))</f>
        <v>Screening</v>
      </c>
      <c r="U201">
        <f>IF(RecruitmentTable[[#This Row],[Final Status]]="Selected",1,0)</f>
        <v>0</v>
      </c>
    </row>
    <row r="202" spans="1:21" x14ac:dyDescent="0.25">
      <c r="A202" t="s">
        <v>402</v>
      </c>
      <c r="B202" t="s">
        <v>403</v>
      </c>
      <c r="C202" s="1">
        <v>46163</v>
      </c>
      <c r="D202" t="s">
        <v>56</v>
      </c>
      <c r="E202" t="s">
        <v>34</v>
      </c>
      <c r="F202" t="s">
        <v>57</v>
      </c>
      <c r="G202" t="s">
        <v>24</v>
      </c>
      <c r="H202" t="s">
        <v>72</v>
      </c>
      <c r="I202" t="s">
        <v>26</v>
      </c>
      <c r="J202" t="s">
        <v>27</v>
      </c>
      <c r="K202" s="1">
        <v>46178</v>
      </c>
      <c r="L202" t="s">
        <v>28</v>
      </c>
      <c r="M202" t="s">
        <v>37</v>
      </c>
      <c r="O202" t="s">
        <v>38</v>
      </c>
      <c r="Q202">
        <v>15</v>
      </c>
      <c r="T202" t="str">
        <f>IF(RecruitmentTable[[#This Row],[Final Status]]="In process","Screening",IF(RecruitmentTable[[#This Row],[Final Status]]="Selected","Offer","Rejected"))</f>
        <v>Rejected</v>
      </c>
      <c r="U202">
        <f>IF(RecruitmentTable[[#This Row],[Final Status]]="Selected",1,0)</f>
        <v>0</v>
      </c>
    </row>
    <row r="203" spans="1:21" x14ac:dyDescent="0.25">
      <c r="A203" t="s">
        <v>404</v>
      </c>
      <c r="B203" t="s">
        <v>64</v>
      </c>
      <c r="C203" s="1">
        <v>46042</v>
      </c>
      <c r="D203" t="s">
        <v>83</v>
      </c>
      <c r="E203" t="s">
        <v>34</v>
      </c>
      <c r="F203" t="s">
        <v>50</v>
      </c>
      <c r="G203" t="s">
        <v>24</v>
      </c>
      <c r="H203" t="s">
        <v>25</v>
      </c>
      <c r="I203" t="s">
        <v>26</v>
      </c>
      <c r="J203" t="s">
        <v>27</v>
      </c>
      <c r="K203" s="1">
        <v>46048</v>
      </c>
      <c r="L203" t="s">
        <v>28</v>
      </c>
      <c r="M203" t="s">
        <v>37</v>
      </c>
      <c r="O203" t="s">
        <v>38</v>
      </c>
      <c r="Q203">
        <v>6</v>
      </c>
      <c r="T203" t="str">
        <f>IF(RecruitmentTable[[#This Row],[Final Status]]="In process","Screening",IF(RecruitmentTable[[#This Row],[Final Status]]="Selected","Offer","Rejected"))</f>
        <v>Rejected</v>
      </c>
      <c r="U203">
        <f>IF(RecruitmentTable[[#This Row],[Final Status]]="Selected",1,0)</f>
        <v>0</v>
      </c>
    </row>
    <row r="204" spans="1:21" x14ac:dyDescent="0.25">
      <c r="A204" t="s">
        <v>405</v>
      </c>
      <c r="B204" t="s">
        <v>406</v>
      </c>
      <c r="C204" s="1">
        <v>46288</v>
      </c>
      <c r="D204" t="s">
        <v>41</v>
      </c>
      <c r="E204" t="s">
        <v>42</v>
      </c>
      <c r="F204" t="s">
        <v>50</v>
      </c>
      <c r="G204" t="s">
        <v>36</v>
      </c>
      <c r="H204" t="s">
        <v>72</v>
      </c>
      <c r="I204" t="s">
        <v>26</v>
      </c>
      <c r="J204" t="s">
        <v>27</v>
      </c>
      <c r="K204" s="1">
        <v>46298</v>
      </c>
      <c r="L204" t="s">
        <v>28</v>
      </c>
      <c r="M204" t="s">
        <v>29</v>
      </c>
      <c r="N204" s="1">
        <v>46303</v>
      </c>
      <c r="O204" t="s">
        <v>30</v>
      </c>
      <c r="P204" s="1">
        <v>46313</v>
      </c>
      <c r="Q204">
        <v>10</v>
      </c>
      <c r="R204">
        <v>5</v>
      </c>
      <c r="S204">
        <v>10</v>
      </c>
      <c r="T204" t="str">
        <f>IF(RecruitmentTable[[#This Row],[Final Status]]="In process","Screening",IF(RecruitmentTable[[#This Row],[Final Status]]="Selected","Offer","Rejected"))</f>
        <v>Offer</v>
      </c>
      <c r="U204">
        <f>IF(RecruitmentTable[[#This Row],[Final Status]]="Selected",1,0)</f>
        <v>1</v>
      </c>
    </row>
    <row r="205" spans="1:21" x14ac:dyDescent="0.25">
      <c r="A205" t="s">
        <v>407</v>
      </c>
      <c r="B205" t="s">
        <v>206</v>
      </c>
      <c r="C205" s="1">
        <v>46125</v>
      </c>
      <c r="D205" t="s">
        <v>56</v>
      </c>
      <c r="E205" t="s">
        <v>34</v>
      </c>
      <c r="F205" t="s">
        <v>57</v>
      </c>
      <c r="G205" t="s">
        <v>24</v>
      </c>
      <c r="H205" t="s">
        <v>25</v>
      </c>
      <c r="I205" t="s">
        <v>37</v>
      </c>
      <c r="J205" t="s">
        <v>38</v>
      </c>
      <c r="K205" s="1"/>
      <c r="L205" t="s">
        <v>38</v>
      </c>
      <c r="M205" t="s">
        <v>37</v>
      </c>
      <c r="O205" t="s">
        <v>38</v>
      </c>
      <c r="T205" t="str">
        <f>IF(RecruitmentTable[[#This Row],[Final Status]]="In process","Screening",IF(RecruitmentTable[[#This Row],[Final Status]]="Selected","Offer","Rejected"))</f>
        <v>Rejected</v>
      </c>
      <c r="U205">
        <f>IF(RecruitmentTable[[#This Row],[Final Status]]="Selected",1,0)</f>
        <v>0</v>
      </c>
    </row>
    <row r="206" spans="1:21" x14ac:dyDescent="0.25">
      <c r="A206" t="s">
        <v>408</v>
      </c>
      <c r="B206" t="s">
        <v>175</v>
      </c>
      <c r="C206" s="1">
        <v>46200</v>
      </c>
      <c r="D206" t="s">
        <v>41</v>
      </c>
      <c r="E206" t="s">
        <v>42</v>
      </c>
      <c r="F206" t="s">
        <v>35</v>
      </c>
      <c r="G206" t="s">
        <v>47</v>
      </c>
      <c r="H206" t="s">
        <v>25</v>
      </c>
      <c r="I206" t="s">
        <v>26</v>
      </c>
      <c r="J206" t="s">
        <v>27</v>
      </c>
      <c r="K206" s="1">
        <v>46210</v>
      </c>
      <c r="L206" t="s">
        <v>28</v>
      </c>
      <c r="M206" t="s">
        <v>37</v>
      </c>
      <c r="O206" t="s">
        <v>38</v>
      </c>
      <c r="Q206">
        <v>10</v>
      </c>
      <c r="T206" t="str">
        <f>IF(RecruitmentTable[[#This Row],[Final Status]]="In process","Screening",IF(RecruitmentTable[[#This Row],[Final Status]]="Selected","Offer","Rejected"))</f>
        <v>Rejected</v>
      </c>
      <c r="U206">
        <f>IF(RecruitmentTable[[#This Row],[Final Status]]="Selected",1,0)</f>
        <v>0</v>
      </c>
    </row>
    <row r="207" spans="1:21" x14ac:dyDescent="0.25">
      <c r="A207" t="s">
        <v>409</v>
      </c>
      <c r="B207" t="s">
        <v>410</v>
      </c>
      <c r="C207" s="1">
        <v>46108</v>
      </c>
      <c r="D207" t="s">
        <v>33</v>
      </c>
      <c r="E207" t="s">
        <v>34</v>
      </c>
      <c r="F207" t="s">
        <v>57</v>
      </c>
      <c r="G207" t="s">
        <v>24</v>
      </c>
      <c r="H207" t="s">
        <v>25</v>
      </c>
      <c r="I207" t="s">
        <v>26</v>
      </c>
      <c r="J207" t="s">
        <v>27</v>
      </c>
      <c r="K207" s="1">
        <v>46121</v>
      </c>
      <c r="L207" t="s">
        <v>28</v>
      </c>
      <c r="M207" t="s">
        <v>37</v>
      </c>
      <c r="O207" t="s">
        <v>38</v>
      </c>
      <c r="Q207">
        <v>13</v>
      </c>
      <c r="T207" t="str">
        <f>IF(RecruitmentTable[[#This Row],[Final Status]]="In process","Screening",IF(RecruitmentTable[[#This Row],[Final Status]]="Selected","Offer","Rejected"))</f>
        <v>Rejected</v>
      </c>
      <c r="U207">
        <f>IF(RecruitmentTable[[#This Row],[Final Status]]="Selected",1,0)</f>
        <v>0</v>
      </c>
    </row>
    <row r="208" spans="1:21" x14ac:dyDescent="0.25">
      <c r="A208" t="s">
        <v>411</v>
      </c>
      <c r="B208" t="s">
        <v>412</v>
      </c>
      <c r="C208" s="1">
        <v>46087</v>
      </c>
      <c r="D208" t="s">
        <v>56</v>
      </c>
      <c r="E208" t="s">
        <v>34</v>
      </c>
      <c r="F208" t="s">
        <v>50</v>
      </c>
      <c r="G208" t="s">
        <v>47</v>
      </c>
      <c r="H208" t="s">
        <v>25</v>
      </c>
      <c r="I208" t="s">
        <v>37</v>
      </c>
      <c r="J208" t="s">
        <v>38</v>
      </c>
      <c r="K208" s="1"/>
      <c r="L208" t="s">
        <v>38</v>
      </c>
      <c r="M208" t="s">
        <v>37</v>
      </c>
      <c r="O208" t="s">
        <v>38</v>
      </c>
      <c r="T208" t="str">
        <f>IF(RecruitmentTable[[#This Row],[Final Status]]="In process","Screening",IF(RecruitmentTable[[#This Row],[Final Status]]="Selected","Offer","Rejected"))</f>
        <v>Rejected</v>
      </c>
      <c r="U208">
        <f>IF(RecruitmentTable[[#This Row],[Final Status]]="Selected",1,0)</f>
        <v>0</v>
      </c>
    </row>
    <row r="209" spans="1:21" x14ac:dyDescent="0.25">
      <c r="A209" t="s">
        <v>413</v>
      </c>
      <c r="B209" t="s">
        <v>350</v>
      </c>
      <c r="C209" s="1">
        <v>46210</v>
      </c>
      <c r="D209" t="s">
        <v>65</v>
      </c>
      <c r="E209" t="s">
        <v>42</v>
      </c>
      <c r="F209" t="s">
        <v>57</v>
      </c>
      <c r="G209" t="s">
        <v>36</v>
      </c>
      <c r="H209" t="s">
        <v>25</v>
      </c>
      <c r="I209" t="s">
        <v>26</v>
      </c>
      <c r="J209" t="s">
        <v>27</v>
      </c>
      <c r="K209" s="1">
        <v>46225</v>
      </c>
      <c r="L209" t="s">
        <v>28</v>
      </c>
      <c r="M209" t="s">
        <v>37</v>
      </c>
      <c r="O209" t="s">
        <v>38</v>
      </c>
      <c r="Q209">
        <v>15</v>
      </c>
      <c r="T209" t="str">
        <f>IF(RecruitmentTable[[#This Row],[Final Status]]="In process","Screening",IF(RecruitmentTable[[#This Row],[Final Status]]="Selected","Offer","Rejected"))</f>
        <v>Rejected</v>
      </c>
      <c r="U209">
        <f>IF(RecruitmentTable[[#This Row],[Final Status]]="Selected",1,0)</f>
        <v>0</v>
      </c>
    </row>
    <row r="210" spans="1:21" x14ac:dyDescent="0.25">
      <c r="A210" t="s">
        <v>414</v>
      </c>
      <c r="B210" t="s">
        <v>158</v>
      </c>
      <c r="C210" s="1">
        <v>46249</v>
      </c>
      <c r="D210" t="s">
        <v>56</v>
      </c>
      <c r="E210" t="s">
        <v>34</v>
      </c>
      <c r="F210" t="s">
        <v>35</v>
      </c>
      <c r="G210" t="s">
        <v>84</v>
      </c>
      <c r="H210" t="s">
        <v>25</v>
      </c>
      <c r="I210" t="s">
        <v>37</v>
      </c>
      <c r="J210" t="s">
        <v>38</v>
      </c>
      <c r="K210" s="1"/>
      <c r="L210" t="s">
        <v>38</v>
      </c>
      <c r="M210" t="s">
        <v>37</v>
      </c>
      <c r="O210" t="s">
        <v>38</v>
      </c>
      <c r="T210" t="str">
        <f>IF(RecruitmentTable[[#This Row],[Final Status]]="In process","Screening",IF(RecruitmentTable[[#This Row],[Final Status]]="Selected","Offer","Rejected"))</f>
        <v>Rejected</v>
      </c>
      <c r="U210">
        <f>IF(RecruitmentTable[[#This Row],[Final Status]]="Selected",1,0)</f>
        <v>0</v>
      </c>
    </row>
    <row r="211" spans="1:21" x14ac:dyDescent="0.25">
      <c r="A211" t="s">
        <v>415</v>
      </c>
      <c r="B211" t="s">
        <v>416</v>
      </c>
      <c r="C211" s="1">
        <v>46214</v>
      </c>
      <c r="D211" t="s">
        <v>21</v>
      </c>
      <c r="E211" t="s">
        <v>22</v>
      </c>
      <c r="F211" t="s">
        <v>50</v>
      </c>
      <c r="G211" t="s">
        <v>84</v>
      </c>
      <c r="H211" t="s">
        <v>44</v>
      </c>
      <c r="I211" t="s">
        <v>26</v>
      </c>
      <c r="J211" t="s">
        <v>27</v>
      </c>
      <c r="K211" s="1">
        <v>46229</v>
      </c>
      <c r="L211" t="s">
        <v>28</v>
      </c>
      <c r="M211" t="s">
        <v>37</v>
      </c>
      <c r="O211" t="s">
        <v>38</v>
      </c>
      <c r="Q211">
        <v>15</v>
      </c>
      <c r="T211" t="str">
        <f>IF(RecruitmentTable[[#This Row],[Final Status]]="In process","Screening",IF(RecruitmentTable[[#This Row],[Final Status]]="Selected","Offer","Rejected"))</f>
        <v>Rejected</v>
      </c>
      <c r="U211">
        <f>IF(RecruitmentTable[[#This Row],[Final Status]]="Selected",1,0)</f>
        <v>0</v>
      </c>
    </row>
    <row r="212" spans="1:21" x14ac:dyDescent="0.25">
      <c r="A212" t="s">
        <v>417</v>
      </c>
      <c r="B212" t="s">
        <v>330</v>
      </c>
      <c r="C212" s="1">
        <v>46225</v>
      </c>
      <c r="D212" t="s">
        <v>83</v>
      </c>
      <c r="E212" t="s">
        <v>34</v>
      </c>
      <c r="F212" t="s">
        <v>35</v>
      </c>
      <c r="G212" t="s">
        <v>84</v>
      </c>
      <c r="H212" t="s">
        <v>72</v>
      </c>
      <c r="I212" t="s">
        <v>37</v>
      </c>
      <c r="J212" t="s">
        <v>38</v>
      </c>
      <c r="K212" s="1"/>
      <c r="L212" t="s">
        <v>38</v>
      </c>
      <c r="M212" t="s">
        <v>37</v>
      </c>
      <c r="O212" t="s">
        <v>38</v>
      </c>
      <c r="T212" t="str">
        <f>IF(RecruitmentTable[[#This Row],[Final Status]]="In process","Screening",IF(RecruitmentTable[[#This Row],[Final Status]]="Selected","Offer","Rejected"))</f>
        <v>Rejected</v>
      </c>
      <c r="U212">
        <f>IF(RecruitmentTable[[#This Row],[Final Status]]="Selected",1,0)</f>
        <v>0</v>
      </c>
    </row>
    <row r="213" spans="1:21" x14ac:dyDescent="0.25">
      <c r="A213" t="s">
        <v>418</v>
      </c>
      <c r="B213" t="s">
        <v>119</v>
      </c>
      <c r="C213" s="1">
        <v>46091</v>
      </c>
      <c r="D213" t="s">
        <v>21</v>
      </c>
      <c r="E213" t="s">
        <v>22</v>
      </c>
      <c r="F213" t="s">
        <v>50</v>
      </c>
      <c r="G213" t="s">
        <v>36</v>
      </c>
      <c r="H213" t="s">
        <v>25</v>
      </c>
      <c r="I213" t="s">
        <v>26</v>
      </c>
      <c r="J213" t="s">
        <v>38</v>
      </c>
      <c r="K213" s="1"/>
      <c r="L213" t="s">
        <v>58</v>
      </c>
      <c r="M213" t="s">
        <v>59</v>
      </c>
      <c r="O213" t="s">
        <v>38</v>
      </c>
      <c r="T213" t="str">
        <f>IF(RecruitmentTable[[#This Row],[Final Status]]="In process","Screening",IF(RecruitmentTable[[#This Row],[Final Status]]="Selected","Offer","Rejected"))</f>
        <v>Screening</v>
      </c>
      <c r="U213">
        <f>IF(RecruitmentTable[[#This Row],[Final Status]]="Selected",1,0)</f>
        <v>0</v>
      </c>
    </row>
    <row r="214" spans="1:21" x14ac:dyDescent="0.25">
      <c r="A214" t="s">
        <v>419</v>
      </c>
      <c r="B214" t="s">
        <v>420</v>
      </c>
      <c r="C214" s="1">
        <v>46174</v>
      </c>
      <c r="D214" t="s">
        <v>41</v>
      </c>
      <c r="E214" t="s">
        <v>42</v>
      </c>
      <c r="F214" t="s">
        <v>43</v>
      </c>
      <c r="G214" t="s">
        <v>36</v>
      </c>
      <c r="H214" t="s">
        <v>44</v>
      </c>
      <c r="I214" t="s">
        <v>26</v>
      </c>
      <c r="J214" t="s">
        <v>38</v>
      </c>
      <c r="K214" s="1"/>
      <c r="L214" t="s">
        <v>58</v>
      </c>
      <c r="M214" t="s">
        <v>59</v>
      </c>
      <c r="O214" t="s">
        <v>38</v>
      </c>
      <c r="T214" t="str">
        <f>IF(RecruitmentTable[[#This Row],[Final Status]]="In process","Screening",IF(RecruitmentTable[[#This Row],[Final Status]]="Selected","Offer","Rejected"))</f>
        <v>Screening</v>
      </c>
      <c r="U214">
        <f>IF(RecruitmentTable[[#This Row],[Final Status]]="Selected",1,0)</f>
        <v>0</v>
      </c>
    </row>
    <row r="215" spans="1:21" x14ac:dyDescent="0.25">
      <c r="A215" t="s">
        <v>421</v>
      </c>
      <c r="B215" t="s">
        <v>422</v>
      </c>
      <c r="C215" s="1">
        <v>46050</v>
      </c>
      <c r="D215" t="s">
        <v>56</v>
      </c>
      <c r="E215" t="s">
        <v>34</v>
      </c>
      <c r="F215" t="s">
        <v>35</v>
      </c>
      <c r="G215" t="s">
        <v>84</v>
      </c>
      <c r="H215" t="s">
        <v>51</v>
      </c>
      <c r="I215" t="s">
        <v>26</v>
      </c>
      <c r="J215" t="s">
        <v>27</v>
      </c>
      <c r="K215" s="1">
        <v>46061</v>
      </c>
      <c r="L215" t="s">
        <v>28</v>
      </c>
      <c r="M215" t="s">
        <v>37</v>
      </c>
      <c r="O215" t="s">
        <v>38</v>
      </c>
      <c r="Q215">
        <v>11</v>
      </c>
      <c r="T215" t="str">
        <f>IF(RecruitmentTable[[#This Row],[Final Status]]="In process","Screening",IF(RecruitmentTable[[#This Row],[Final Status]]="Selected","Offer","Rejected"))</f>
        <v>Rejected</v>
      </c>
      <c r="U215">
        <f>IF(RecruitmentTable[[#This Row],[Final Status]]="Selected",1,0)</f>
        <v>0</v>
      </c>
    </row>
    <row r="216" spans="1:21" x14ac:dyDescent="0.25">
      <c r="A216" t="s">
        <v>423</v>
      </c>
      <c r="B216" t="s">
        <v>424</v>
      </c>
      <c r="C216" s="1">
        <v>46071</v>
      </c>
      <c r="D216" t="s">
        <v>56</v>
      </c>
      <c r="E216" t="s">
        <v>34</v>
      </c>
      <c r="F216" t="s">
        <v>57</v>
      </c>
      <c r="G216" t="s">
        <v>24</v>
      </c>
      <c r="H216" t="s">
        <v>72</v>
      </c>
      <c r="I216" t="s">
        <v>26</v>
      </c>
      <c r="J216" t="s">
        <v>27</v>
      </c>
      <c r="K216" s="1">
        <v>46079</v>
      </c>
      <c r="L216" t="s">
        <v>28</v>
      </c>
      <c r="M216" t="s">
        <v>37</v>
      </c>
      <c r="O216" t="s">
        <v>38</v>
      </c>
      <c r="Q216">
        <v>8</v>
      </c>
      <c r="T216" t="str">
        <f>IF(RecruitmentTable[[#This Row],[Final Status]]="In process","Screening",IF(RecruitmentTable[[#This Row],[Final Status]]="Selected","Offer","Rejected"))</f>
        <v>Rejected</v>
      </c>
      <c r="U216">
        <f>IF(RecruitmentTable[[#This Row],[Final Status]]="Selected",1,0)</f>
        <v>0</v>
      </c>
    </row>
    <row r="217" spans="1:21" x14ac:dyDescent="0.25">
      <c r="A217" t="s">
        <v>425</v>
      </c>
      <c r="B217" t="s">
        <v>426</v>
      </c>
      <c r="C217" s="1">
        <v>46280</v>
      </c>
      <c r="D217" t="s">
        <v>65</v>
      </c>
      <c r="E217" t="s">
        <v>42</v>
      </c>
      <c r="F217" t="s">
        <v>50</v>
      </c>
      <c r="G217" t="s">
        <v>36</v>
      </c>
      <c r="H217" t="s">
        <v>44</v>
      </c>
      <c r="I217" t="s">
        <v>26</v>
      </c>
      <c r="J217" t="s">
        <v>27</v>
      </c>
      <c r="K217" s="1">
        <v>46291</v>
      </c>
      <c r="L217" t="s">
        <v>28</v>
      </c>
      <c r="M217" t="s">
        <v>29</v>
      </c>
      <c r="N217" s="1">
        <v>46295</v>
      </c>
      <c r="O217" t="s">
        <v>30</v>
      </c>
      <c r="P217" s="1">
        <v>46318</v>
      </c>
      <c r="Q217">
        <v>11</v>
      </c>
      <c r="R217">
        <v>4</v>
      </c>
      <c r="S217">
        <v>23</v>
      </c>
      <c r="T217" t="str">
        <f>IF(RecruitmentTable[[#This Row],[Final Status]]="In process","Screening",IF(RecruitmentTable[[#This Row],[Final Status]]="Selected","Offer","Rejected"))</f>
        <v>Offer</v>
      </c>
      <c r="U217">
        <f>IF(RecruitmentTable[[#This Row],[Final Status]]="Selected",1,0)</f>
        <v>1</v>
      </c>
    </row>
    <row r="218" spans="1:21" x14ac:dyDescent="0.25">
      <c r="A218" t="s">
        <v>427</v>
      </c>
      <c r="B218" t="s">
        <v>428</v>
      </c>
      <c r="C218" s="1">
        <v>46235</v>
      </c>
      <c r="D218" t="s">
        <v>65</v>
      </c>
      <c r="E218" t="s">
        <v>42</v>
      </c>
      <c r="F218" t="s">
        <v>57</v>
      </c>
      <c r="G218" t="s">
        <v>36</v>
      </c>
      <c r="H218" t="s">
        <v>25</v>
      </c>
      <c r="I218" t="s">
        <v>26</v>
      </c>
      <c r="J218" t="s">
        <v>38</v>
      </c>
      <c r="K218" s="1"/>
      <c r="L218" t="s">
        <v>58</v>
      </c>
      <c r="M218" t="s">
        <v>59</v>
      </c>
      <c r="O218" t="s">
        <v>38</v>
      </c>
      <c r="T218" t="str">
        <f>IF(RecruitmentTable[[#This Row],[Final Status]]="In process","Screening",IF(RecruitmentTable[[#This Row],[Final Status]]="Selected","Offer","Rejected"))</f>
        <v>Screening</v>
      </c>
      <c r="U218">
        <f>IF(RecruitmentTable[[#This Row],[Final Status]]="Selected",1,0)</f>
        <v>0</v>
      </c>
    </row>
    <row r="219" spans="1:21" x14ac:dyDescent="0.25">
      <c r="A219" t="s">
        <v>429</v>
      </c>
      <c r="B219" t="s">
        <v>187</v>
      </c>
      <c r="C219" s="1">
        <v>46290</v>
      </c>
      <c r="D219" t="s">
        <v>33</v>
      </c>
      <c r="E219" t="s">
        <v>34</v>
      </c>
      <c r="F219" t="s">
        <v>50</v>
      </c>
      <c r="G219" t="s">
        <v>24</v>
      </c>
      <c r="H219" t="s">
        <v>25</v>
      </c>
      <c r="I219" t="s">
        <v>37</v>
      </c>
      <c r="J219" t="s">
        <v>38</v>
      </c>
      <c r="K219" s="1"/>
      <c r="L219" t="s">
        <v>38</v>
      </c>
      <c r="M219" t="s">
        <v>37</v>
      </c>
      <c r="O219" t="s">
        <v>38</v>
      </c>
      <c r="T219" t="str">
        <f>IF(RecruitmentTable[[#This Row],[Final Status]]="In process","Screening",IF(RecruitmentTable[[#This Row],[Final Status]]="Selected","Offer","Rejected"))</f>
        <v>Rejected</v>
      </c>
      <c r="U219">
        <f>IF(RecruitmentTable[[#This Row],[Final Status]]="Selected",1,0)</f>
        <v>0</v>
      </c>
    </row>
    <row r="220" spans="1:21" x14ac:dyDescent="0.25">
      <c r="A220" t="s">
        <v>430</v>
      </c>
      <c r="B220" t="s">
        <v>431</v>
      </c>
      <c r="C220" s="1">
        <v>46260</v>
      </c>
      <c r="D220" t="s">
        <v>21</v>
      </c>
      <c r="E220" t="s">
        <v>22</v>
      </c>
      <c r="F220" t="s">
        <v>57</v>
      </c>
      <c r="G220" t="s">
        <v>36</v>
      </c>
      <c r="H220" t="s">
        <v>62</v>
      </c>
      <c r="I220" t="s">
        <v>26</v>
      </c>
      <c r="J220" t="s">
        <v>27</v>
      </c>
      <c r="K220" s="1">
        <v>46265</v>
      </c>
      <c r="L220" t="s">
        <v>28</v>
      </c>
      <c r="M220" t="s">
        <v>37</v>
      </c>
      <c r="O220" t="s">
        <v>38</v>
      </c>
      <c r="Q220">
        <v>5</v>
      </c>
      <c r="T220" t="str">
        <f>IF(RecruitmentTable[[#This Row],[Final Status]]="In process","Screening",IF(RecruitmentTable[[#This Row],[Final Status]]="Selected","Offer","Rejected"))</f>
        <v>Rejected</v>
      </c>
      <c r="U220">
        <f>IF(RecruitmentTable[[#This Row],[Final Status]]="Selected",1,0)</f>
        <v>0</v>
      </c>
    </row>
    <row r="221" spans="1:21" x14ac:dyDescent="0.25">
      <c r="A221" t="s">
        <v>432</v>
      </c>
      <c r="B221" t="s">
        <v>359</v>
      </c>
      <c r="C221" s="1">
        <v>46072</v>
      </c>
      <c r="D221" t="s">
        <v>41</v>
      </c>
      <c r="E221" t="s">
        <v>42</v>
      </c>
      <c r="F221" t="s">
        <v>23</v>
      </c>
      <c r="G221" t="s">
        <v>36</v>
      </c>
      <c r="H221" t="s">
        <v>25</v>
      </c>
      <c r="I221" t="s">
        <v>26</v>
      </c>
      <c r="J221" t="s">
        <v>38</v>
      </c>
      <c r="K221" s="1"/>
      <c r="L221" t="s">
        <v>58</v>
      </c>
      <c r="M221" t="s">
        <v>59</v>
      </c>
      <c r="O221" t="s">
        <v>38</v>
      </c>
      <c r="T221" t="str">
        <f>IF(RecruitmentTable[[#This Row],[Final Status]]="In process","Screening",IF(RecruitmentTable[[#This Row],[Final Status]]="Selected","Offer","Rejected"))</f>
        <v>Screening</v>
      </c>
      <c r="U221">
        <f>IF(RecruitmentTable[[#This Row],[Final Status]]="Selected",1,0)</f>
        <v>0</v>
      </c>
    </row>
    <row r="222" spans="1:21" x14ac:dyDescent="0.25">
      <c r="A222" t="s">
        <v>433</v>
      </c>
      <c r="B222" t="s">
        <v>193</v>
      </c>
      <c r="C222" s="1">
        <v>46025</v>
      </c>
      <c r="D222" t="s">
        <v>56</v>
      </c>
      <c r="E222" t="s">
        <v>34</v>
      </c>
      <c r="F222" t="s">
        <v>50</v>
      </c>
      <c r="G222" t="s">
        <v>36</v>
      </c>
      <c r="H222" t="s">
        <v>44</v>
      </c>
      <c r="I222" t="s">
        <v>26</v>
      </c>
      <c r="J222" t="s">
        <v>38</v>
      </c>
      <c r="K222" s="1"/>
      <c r="L222" t="s">
        <v>58</v>
      </c>
      <c r="M222" t="s">
        <v>59</v>
      </c>
      <c r="O222" t="s">
        <v>38</v>
      </c>
      <c r="T222" t="str">
        <f>IF(RecruitmentTable[[#This Row],[Final Status]]="In process","Screening",IF(RecruitmentTable[[#This Row],[Final Status]]="Selected","Offer","Rejected"))</f>
        <v>Screening</v>
      </c>
      <c r="U222">
        <f>IF(RecruitmentTable[[#This Row],[Final Status]]="Selected",1,0)</f>
        <v>0</v>
      </c>
    </row>
    <row r="223" spans="1:21" x14ac:dyDescent="0.25">
      <c r="A223" t="s">
        <v>434</v>
      </c>
      <c r="B223" t="s">
        <v>435</v>
      </c>
      <c r="C223" s="1">
        <v>46208</v>
      </c>
      <c r="D223" t="s">
        <v>41</v>
      </c>
      <c r="E223" t="s">
        <v>42</v>
      </c>
      <c r="F223" t="s">
        <v>50</v>
      </c>
      <c r="G223" t="s">
        <v>24</v>
      </c>
      <c r="H223" t="s">
        <v>72</v>
      </c>
      <c r="I223" t="s">
        <v>26</v>
      </c>
      <c r="J223" t="s">
        <v>27</v>
      </c>
      <c r="K223" s="1">
        <v>46213</v>
      </c>
      <c r="L223" t="s">
        <v>28</v>
      </c>
      <c r="M223" t="s">
        <v>37</v>
      </c>
      <c r="O223" t="s">
        <v>38</v>
      </c>
      <c r="Q223">
        <v>5</v>
      </c>
      <c r="T223" t="str">
        <f>IF(RecruitmentTable[[#This Row],[Final Status]]="In process","Screening",IF(RecruitmentTable[[#This Row],[Final Status]]="Selected","Offer","Rejected"))</f>
        <v>Rejected</v>
      </c>
      <c r="U223">
        <f>IF(RecruitmentTable[[#This Row],[Final Status]]="Selected",1,0)</f>
        <v>0</v>
      </c>
    </row>
    <row r="224" spans="1:21" x14ac:dyDescent="0.25">
      <c r="A224" t="s">
        <v>436</v>
      </c>
      <c r="B224" t="s">
        <v>437</v>
      </c>
      <c r="C224" s="1">
        <v>46032</v>
      </c>
      <c r="D224" t="s">
        <v>21</v>
      </c>
      <c r="E224" t="s">
        <v>22</v>
      </c>
      <c r="F224" t="s">
        <v>35</v>
      </c>
      <c r="G224" t="s">
        <v>47</v>
      </c>
      <c r="H224" t="s">
        <v>51</v>
      </c>
      <c r="I224" t="s">
        <v>26</v>
      </c>
      <c r="J224" t="s">
        <v>38</v>
      </c>
      <c r="K224" s="1"/>
      <c r="L224" t="s">
        <v>58</v>
      </c>
      <c r="M224" t="s">
        <v>59</v>
      </c>
      <c r="O224" t="s">
        <v>38</v>
      </c>
      <c r="T224" t="str">
        <f>IF(RecruitmentTable[[#This Row],[Final Status]]="In process","Screening",IF(RecruitmentTable[[#This Row],[Final Status]]="Selected","Offer","Rejected"))</f>
        <v>Screening</v>
      </c>
      <c r="U224">
        <f>IF(RecruitmentTable[[#This Row],[Final Status]]="Selected",1,0)</f>
        <v>0</v>
      </c>
    </row>
    <row r="225" spans="1:21" x14ac:dyDescent="0.25">
      <c r="A225" t="s">
        <v>438</v>
      </c>
      <c r="B225" t="s">
        <v>439</v>
      </c>
      <c r="C225" s="1">
        <v>46108</v>
      </c>
      <c r="D225" t="s">
        <v>21</v>
      </c>
      <c r="E225" t="s">
        <v>22</v>
      </c>
      <c r="F225" t="s">
        <v>23</v>
      </c>
      <c r="G225" t="s">
        <v>47</v>
      </c>
      <c r="H225" t="s">
        <v>72</v>
      </c>
      <c r="I225" t="s">
        <v>37</v>
      </c>
      <c r="J225" t="s">
        <v>38</v>
      </c>
      <c r="K225" s="1"/>
      <c r="L225" t="s">
        <v>38</v>
      </c>
      <c r="M225" t="s">
        <v>37</v>
      </c>
      <c r="O225" t="s">
        <v>38</v>
      </c>
      <c r="T225" t="str">
        <f>IF(RecruitmentTable[[#This Row],[Final Status]]="In process","Screening",IF(RecruitmentTable[[#This Row],[Final Status]]="Selected","Offer","Rejected"))</f>
        <v>Rejected</v>
      </c>
      <c r="U225">
        <f>IF(RecruitmentTable[[#This Row],[Final Status]]="Selected",1,0)</f>
        <v>0</v>
      </c>
    </row>
    <row r="226" spans="1:21" x14ac:dyDescent="0.25">
      <c r="A226" t="s">
        <v>440</v>
      </c>
      <c r="B226" t="s">
        <v>338</v>
      </c>
      <c r="C226" s="1">
        <v>46265</v>
      </c>
      <c r="D226" t="s">
        <v>21</v>
      </c>
      <c r="E226" t="s">
        <v>22</v>
      </c>
      <c r="F226" t="s">
        <v>35</v>
      </c>
      <c r="G226" t="s">
        <v>36</v>
      </c>
      <c r="H226" t="s">
        <v>51</v>
      </c>
      <c r="I226" t="s">
        <v>26</v>
      </c>
      <c r="J226" t="s">
        <v>27</v>
      </c>
      <c r="K226" s="1">
        <v>46276</v>
      </c>
      <c r="L226" t="s">
        <v>28</v>
      </c>
      <c r="M226" t="s">
        <v>37</v>
      </c>
      <c r="O226" t="s">
        <v>38</v>
      </c>
      <c r="Q226">
        <v>11</v>
      </c>
      <c r="T226" t="str">
        <f>IF(RecruitmentTable[[#This Row],[Final Status]]="In process","Screening",IF(RecruitmentTable[[#This Row],[Final Status]]="Selected","Offer","Rejected"))</f>
        <v>Rejected</v>
      </c>
      <c r="U226">
        <f>IF(RecruitmentTable[[#This Row],[Final Status]]="Selected",1,0)</f>
        <v>0</v>
      </c>
    </row>
    <row r="227" spans="1:21" x14ac:dyDescent="0.25">
      <c r="A227" t="s">
        <v>441</v>
      </c>
      <c r="B227" t="s">
        <v>202</v>
      </c>
      <c r="C227" s="1">
        <v>46252</v>
      </c>
      <c r="D227" t="s">
        <v>83</v>
      </c>
      <c r="E227" t="s">
        <v>34</v>
      </c>
      <c r="F227" t="s">
        <v>57</v>
      </c>
      <c r="G227" t="s">
        <v>71</v>
      </c>
      <c r="H227" t="s">
        <v>44</v>
      </c>
      <c r="I227" t="s">
        <v>26</v>
      </c>
      <c r="J227" t="s">
        <v>27</v>
      </c>
      <c r="K227" s="1">
        <v>46262</v>
      </c>
      <c r="L227" t="s">
        <v>28</v>
      </c>
      <c r="M227" t="s">
        <v>37</v>
      </c>
      <c r="O227" t="s">
        <v>38</v>
      </c>
      <c r="Q227">
        <v>10</v>
      </c>
      <c r="T227" t="str">
        <f>IF(RecruitmentTable[[#This Row],[Final Status]]="In process","Screening",IF(RecruitmentTable[[#This Row],[Final Status]]="Selected","Offer","Rejected"))</f>
        <v>Rejected</v>
      </c>
      <c r="U227">
        <f>IF(RecruitmentTable[[#This Row],[Final Status]]="Selected",1,0)</f>
        <v>0</v>
      </c>
    </row>
    <row r="228" spans="1:21" x14ac:dyDescent="0.25">
      <c r="A228" t="s">
        <v>442</v>
      </c>
      <c r="B228" t="s">
        <v>443</v>
      </c>
      <c r="C228" s="1">
        <v>46036</v>
      </c>
      <c r="D228" t="s">
        <v>21</v>
      </c>
      <c r="E228" t="s">
        <v>22</v>
      </c>
      <c r="F228" t="s">
        <v>57</v>
      </c>
      <c r="G228" t="s">
        <v>24</v>
      </c>
      <c r="H228" t="s">
        <v>44</v>
      </c>
      <c r="I228" t="s">
        <v>37</v>
      </c>
      <c r="J228" t="s">
        <v>38</v>
      </c>
      <c r="K228" s="1"/>
      <c r="L228" t="s">
        <v>38</v>
      </c>
      <c r="M228" t="s">
        <v>37</v>
      </c>
      <c r="O228" t="s">
        <v>38</v>
      </c>
      <c r="T228" t="str">
        <f>IF(RecruitmentTable[[#This Row],[Final Status]]="In process","Screening",IF(RecruitmentTable[[#This Row],[Final Status]]="Selected","Offer","Rejected"))</f>
        <v>Rejected</v>
      </c>
      <c r="U228">
        <f>IF(RecruitmentTable[[#This Row],[Final Status]]="Selected",1,0)</f>
        <v>0</v>
      </c>
    </row>
    <row r="229" spans="1:21" x14ac:dyDescent="0.25">
      <c r="A229" t="s">
        <v>444</v>
      </c>
      <c r="B229" t="s">
        <v>445</v>
      </c>
      <c r="C229" s="1">
        <v>46104</v>
      </c>
      <c r="D229" t="s">
        <v>65</v>
      </c>
      <c r="E229" t="s">
        <v>42</v>
      </c>
      <c r="F229" t="s">
        <v>43</v>
      </c>
      <c r="G229" t="s">
        <v>24</v>
      </c>
      <c r="H229" t="s">
        <v>62</v>
      </c>
      <c r="I229" t="s">
        <v>26</v>
      </c>
      <c r="J229" t="s">
        <v>27</v>
      </c>
      <c r="K229" s="1">
        <v>46113</v>
      </c>
      <c r="L229" t="s">
        <v>28</v>
      </c>
      <c r="M229" t="s">
        <v>37</v>
      </c>
      <c r="O229" t="s">
        <v>38</v>
      </c>
      <c r="Q229">
        <v>9</v>
      </c>
      <c r="T229" t="str">
        <f>IF(RecruitmentTable[[#This Row],[Final Status]]="In process","Screening",IF(RecruitmentTable[[#This Row],[Final Status]]="Selected","Offer","Rejected"))</f>
        <v>Rejected</v>
      </c>
      <c r="U229">
        <f>IF(RecruitmentTable[[#This Row],[Final Status]]="Selected",1,0)</f>
        <v>0</v>
      </c>
    </row>
    <row r="230" spans="1:21" x14ac:dyDescent="0.25">
      <c r="A230" t="s">
        <v>446</v>
      </c>
      <c r="B230" t="s">
        <v>447</v>
      </c>
      <c r="C230" s="1">
        <v>46195</v>
      </c>
      <c r="D230" t="s">
        <v>41</v>
      </c>
      <c r="E230" t="s">
        <v>42</v>
      </c>
      <c r="F230" t="s">
        <v>43</v>
      </c>
      <c r="G230" t="s">
        <v>84</v>
      </c>
      <c r="H230" t="s">
        <v>51</v>
      </c>
      <c r="I230" t="s">
        <v>26</v>
      </c>
      <c r="J230" t="s">
        <v>27</v>
      </c>
      <c r="K230" s="1">
        <v>46209</v>
      </c>
      <c r="L230" t="s">
        <v>28</v>
      </c>
      <c r="M230" t="s">
        <v>37</v>
      </c>
      <c r="O230" t="s">
        <v>38</v>
      </c>
      <c r="Q230">
        <v>14</v>
      </c>
      <c r="T230" t="str">
        <f>IF(RecruitmentTable[[#This Row],[Final Status]]="In process","Screening",IF(RecruitmentTable[[#This Row],[Final Status]]="Selected","Offer","Rejected"))</f>
        <v>Rejected</v>
      </c>
      <c r="U230">
        <f>IF(RecruitmentTable[[#This Row],[Final Status]]="Selected",1,0)</f>
        <v>0</v>
      </c>
    </row>
    <row r="231" spans="1:21" x14ac:dyDescent="0.25">
      <c r="A231" t="s">
        <v>448</v>
      </c>
      <c r="B231" t="s">
        <v>449</v>
      </c>
      <c r="C231" s="1">
        <v>46220</v>
      </c>
      <c r="D231" t="s">
        <v>65</v>
      </c>
      <c r="E231" t="s">
        <v>42</v>
      </c>
      <c r="F231" t="s">
        <v>57</v>
      </c>
      <c r="G231" t="s">
        <v>71</v>
      </c>
      <c r="H231" t="s">
        <v>44</v>
      </c>
      <c r="I231" t="s">
        <v>26</v>
      </c>
      <c r="J231" t="s">
        <v>27</v>
      </c>
      <c r="K231" s="1">
        <v>46232</v>
      </c>
      <c r="L231" t="s">
        <v>28</v>
      </c>
      <c r="M231" t="s">
        <v>37</v>
      </c>
      <c r="O231" t="s">
        <v>38</v>
      </c>
      <c r="Q231">
        <v>12</v>
      </c>
      <c r="T231" t="str">
        <f>IF(RecruitmentTable[[#This Row],[Final Status]]="In process","Screening",IF(RecruitmentTable[[#This Row],[Final Status]]="Selected","Offer","Rejected"))</f>
        <v>Rejected</v>
      </c>
      <c r="U231">
        <f>IF(RecruitmentTable[[#This Row],[Final Status]]="Selected",1,0)</f>
        <v>0</v>
      </c>
    </row>
    <row r="232" spans="1:21" x14ac:dyDescent="0.25">
      <c r="A232" t="s">
        <v>450</v>
      </c>
      <c r="B232" t="s">
        <v>330</v>
      </c>
      <c r="C232" s="1">
        <v>46160</v>
      </c>
      <c r="D232" t="s">
        <v>56</v>
      </c>
      <c r="E232" t="s">
        <v>34</v>
      </c>
      <c r="F232" t="s">
        <v>57</v>
      </c>
      <c r="G232" t="s">
        <v>24</v>
      </c>
      <c r="H232" t="s">
        <v>25</v>
      </c>
      <c r="I232" t="s">
        <v>37</v>
      </c>
      <c r="J232" t="s">
        <v>38</v>
      </c>
      <c r="K232" s="1"/>
      <c r="L232" t="s">
        <v>38</v>
      </c>
      <c r="M232" t="s">
        <v>37</v>
      </c>
      <c r="O232" t="s">
        <v>38</v>
      </c>
      <c r="T232" t="str">
        <f>IF(RecruitmentTable[[#This Row],[Final Status]]="In process","Screening",IF(RecruitmentTable[[#This Row],[Final Status]]="Selected","Offer","Rejected"))</f>
        <v>Rejected</v>
      </c>
      <c r="U232">
        <f>IF(RecruitmentTable[[#This Row],[Final Status]]="Selected",1,0)</f>
        <v>0</v>
      </c>
    </row>
    <row r="233" spans="1:21" x14ac:dyDescent="0.25">
      <c r="A233" t="s">
        <v>451</v>
      </c>
      <c r="B233" t="s">
        <v>123</v>
      </c>
      <c r="C233" s="1">
        <v>46267</v>
      </c>
      <c r="D233" t="s">
        <v>41</v>
      </c>
      <c r="E233" t="s">
        <v>42</v>
      </c>
      <c r="F233" t="s">
        <v>57</v>
      </c>
      <c r="G233" t="s">
        <v>47</v>
      </c>
      <c r="H233" t="s">
        <v>25</v>
      </c>
      <c r="I233" t="s">
        <v>37</v>
      </c>
      <c r="J233" t="s">
        <v>38</v>
      </c>
      <c r="K233" s="1"/>
      <c r="L233" t="s">
        <v>38</v>
      </c>
      <c r="M233" t="s">
        <v>37</v>
      </c>
      <c r="O233" t="s">
        <v>38</v>
      </c>
      <c r="T233" t="str">
        <f>IF(RecruitmentTable[[#This Row],[Final Status]]="In process","Screening",IF(RecruitmentTable[[#This Row],[Final Status]]="Selected","Offer","Rejected"))</f>
        <v>Rejected</v>
      </c>
      <c r="U233">
        <f>IF(RecruitmentTable[[#This Row],[Final Status]]="Selected",1,0)</f>
        <v>0</v>
      </c>
    </row>
    <row r="234" spans="1:21" x14ac:dyDescent="0.25">
      <c r="A234" t="s">
        <v>452</v>
      </c>
      <c r="B234" t="s">
        <v>127</v>
      </c>
      <c r="C234" s="1">
        <v>46071</v>
      </c>
      <c r="D234" t="s">
        <v>83</v>
      </c>
      <c r="E234" t="s">
        <v>34</v>
      </c>
      <c r="F234" t="s">
        <v>50</v>
      </c>
      <c r="G234" t="s">
        <v>66</v>
      </c>
      <c r="H234" t="s">
        <v>51</v>
      </c>
      <c r="I234" t="s">
        <v>26</v>
      </c>
      <c r="J234" t="s">
        <v>38</v>
      </c>
      <c r="K234" s="1"/>
      <c r="L234" t="s">
        <v>58</v>
      </c>
      <c r="M234" t="s">
        <v>59</v>
      </c>
      <c r="O234" t="s">
        <v>38</v>
      </c>
      <c r="T234" t="str">
        <f>IF(RecruitmentTable[[#This Row],[Final Status]]="In process","Screening",IF(RecruitmentTable[[#This Row],[Final Status]]="Selected","Offer","Rejected"))</f>
        <v>Screening</v>
      </c>
      <c r="U234">
        <f>IF(RecruitmentTable[[#This Row],[Final Status]]="Selected",1,0)</f>
        <v>0</v>
      </c>
    </row>
    <row r="235" spans="1:21" x14ac:dyDescent="0.25">
      <c r="A235" t="s">
        <v>453</v>
      </c>
      <c r="B235" t="s">
        <v>454</v>
      </c>
      <c r="C235" s="1">
        <v>46151</v>
      </c>
      <c r="D235" t="s">
        <v>21</v>
      </c>
      <c r="E235" t="s">
        <v>22</v>
      </c>
      <c r="F235" t="s">
        <v>57</v>
      </c>
      <c r="G235" t="s">
        <v>24</v>
      </c>
      <c r="H235" t="s">
        <v>44</v>
      </c>
      <c r="I235" t="s">
        <v>26</v>
      </c>
      <c r="J235" t="s">
        <v>27</v>
      </c>
      <c r="K235" s="1">
        <v>46163</v>
      </c>
      <c r="L235" t="s">
        <v>28</v>
      </c>
      <c r="M235" t="s">
        <v>37</v>
      </c>
      <c r="O235" t="s">
        <v>38</v>
      </c>
      <c r="Q235">
        <v>12</v>
      </c>
      <c r="T235" t="str">
        <f>IF(RecruitmentTable[[#This Row],[Final Status]]="In process","Screening",IF(RecruitmentTable[[#This Row],[Final Status]]="Selected","Offer","Rejected"))</f>
        <v>Rejected</v>
      </c>
      <c r="U235">
        <f>IF(RecruitmentTable[[#This Row],[Final Status]]="Selected",1,0)</f>
        <v>0</v>
      </c>
    </row>
    <row r="236" spans="1:21" x14ac:dyDescent="0.25">
      <c r="A236" t="s">
        <v>455</v>
      </c>
      <c r="B236" t="s">
        <v>456</v>
      </c>
      <c r="C236" s="1">
        <v>46128</v>
      </c>
      <c r="D236" t="s">
        <v>56</v>
      </c>
      <c r="E236" t="s">
        <v>34</v>
      </c>
      <c r="F236" t="s">
        <v>57</v>
      </c>
      <c r="G236" t="s">
        <v>24</v>
      </c>
      <c r="H236" t="s">
        <v>44</v>
      </c>
      <c r="I236" t="s">
        <v>37</v>
      </c>
      <c r="J236" t="s">
        <v>38</v>
      </c>
      <c r="K236" s="1"/>
      <c r="L236" t="s">
        <v>38</v>
      </c>
      <c r="M236" t="s">
        <v>37</v>
      </c>
      <c r="O236" t="s">
        <v>38</v>
      </c>
      <c r="T236" t="str">
        <f>IF(RecruitmentTable[[#This Row],[Final Status]]="In process","Screening",IF(RecruitmentTable[[#This Row],[Final Status]]="Selected","Offer","Rejected"))</f>
        <v>Rejected</v>
      </c>
      <c r="U236">
        <f>IF(RecruitmentTable[[#This Row],[Final Status]]="Selected",1,0)</f>
        <v>0</v>
      </c>
    </row>
    <row r="237" spans="1:21" x14ac:dyDescent="0.25">
      <c r="A237" t="s">
        <v>457</v>
      </c>
      <c r="B237" t="s">
        <v>302</v>
      </c>
      <c r="C237" s="1">
        <v>46128</v>
      </c>
      <c r="D237" t="s">
        <v>21</v>
      </c>
      <c r="E237" t="s">
        <v>22</v>
      </c>
      <c r="F237" t="s">
        <v>57</v>
      </c>
      <c r="G237" t="s">
        <v>24</v>
      </c>
      <c r="H237" t="s">
        <v>44</v>
      </c>
      <c r="I237" t="s">
        <v>26</v>
      </c>
      <c r="J237" t="s">
        <v>27</v>
      </c>
      <c r="K237" s="1">
        <v>46140</v>
      </c>
      <c r="L237" t="s">
        <v>28</v>
      </c>
      <c r="M237" t="s">
        <v>37</v>
      </c>
      <c r="O237" t="s">
        <v>38</v>
      </c>
      <c r="Q237">
        <v>12</v>
      </c>
      <c r="T237" t="str">
        <f>IF(RecruitmentTable[[#This Row],[Final Status]]="In process","Screening",IF(RecruitmentTable[[#This Row],[Final Status]]="Selected","Offer","Rejected"))</f>
        <v>Rejected</v>
      </c>
      <c r="U237">
        <f>IF(RecruitmentTable[[#This Row],[Final Status]]="Selected",1,0)</f>
        <v>0</v>
      </c>
    </row>
    <row r="238" spans="1:21" x14ac:dyDescent="0.25">
      <c r="A238" t="s">
        <v>458</v>
      </c>
      <c r="B238" t="s">
        <v>459</v>
      </c>
      <c r="C238" s="1">
        <v>46029</v>
      </c>
      <c r="D238" t="s">
        <v>41</v>
      </c>
      <c r="E238" t="s">
        <v>42</v>
      </c>
      <c r="F238" t="s">
        <v>50</v>
      </c>
      <c r="G238" t="s">
        <v>24</v>
      </c>
      <c r="H238" t="s">
        <v>62</v>
      </c>
      <c r="I238" t="s">
        <v>37</v>
      </c>
      <c r="J238" t="s">
        <v>38</v>
      </c>
      <c r="K238" s="1"/>
      <c r="L238" t="s">
        <v>38</v>
      </c>
      <c r="M238" t="s">
        <v>37</v>
      </c>
      <c r="O238" t="s">
        <v>38</v>
      </c>
      <c r="T238" t="str">
        <f>IF(RecruitmentTable[[#This Row],[Final Status]]="In process","Screening",IF(RecruitmentTable[[#This Row],[Final Status]]="Selected","Offer","Rejected"))</f>
        <v>Rejected</v>
      </c>
      <c r="U238">
        <f>IF(RecruitmentTable[[#This Row],[Final Status]]="Selected",1,0)</f>
        <v>0</v>
      </c>
    </row>
    <row r="239" spans="1:21" x14ac:dyDescent="0.25">
      <c r="A239" t="s">
        <v>460</v>
      </c>
      <c r="B239" t="s">
        <v>64</v>
      </c>
      <c r="C239" s="1">
        <v>46176</v>
      </c>
      <c r="D239" t="s">
        <v>83</v>
      </c>
      <c r="E239" t="s">
        <v>34</v>
      </c>
      <c r="F239" t="s">
        <v>50</v>
      </c>
      <c r="G239" t="s">
        <v>24</v>
      </c>
      <c r="H239" t="s">
        <v>51</v>
      </c>
      <c r="I239" t="s">
        <v>37</v>
      </c>
      <c r="J239" t="s">
        <v>38</v>
      </c>
      <c r="K239" s="1"/>
      <c r="L239" t="s">
        <v>38</v>
      </c>
      <c r="M239" t="s">
        <v>37</v>
      </c>
      <c r="O239" t="s">
        <v>38</v>
      </c>
      <c r="T239" t="str">
        <f>IF(RecruitmentTable[[#This Row],[Final Status]]="In process","Screening",IF(RecruitmentTable[[#This Row],[Final Status]]="Selected","Offer","Rejected"))</f>
        <v>Rejected</v>
      </c>
      <c r="U239">
        <f>IF(RecruitmentTable[[#This Row],[Final Status]]="Selected",1,0)</f>
        <v>0</v>
      </c>
    </row>
    <row r="240" spans="1:21" x14ac:dyDescent="0.25">
      <c r="A240" t="s">
        <v>461</v>
      </c>
      <c r="B240" t="s">
        <v>191</v>
      </c>
      <c r="C240" s="1">
        <v>46109</v>
      </c>
      <c r="D240" t="s">
        <v>41</v>
      </c>
      <c r="E240" t="s">
        <v>42</v>
      </c>
      <c r="F240" t="s">
        <v>35</v>
      </c>
      <c r="G240" t="s">
        <v>36</v>
      </c>
      <c r="H240" t="s">
        <v>72</v>
      </c>
      <c r="I240" t="s">
        <v>37</v>
      </c>
      <c r="J240" t="s">
        <v>38</v>
      </c>
      <c r="K240" s="1"/>
      <c r="L240" t="s">
        <v>38</v>
      </c>
      <c r="M240" t="s">
        <v>37</v>
      </c>
      <c r="O240" t="s">
        <v>38</v>
      </c>
      <c r="T240" t="str">
        <f>IF(RecruitmentTable[[#This Row],[Final Status]]="In process","Screening",IF(RecruitmentTable[[#This Row],[Final Status]]="Selected","Offer","Rejected"))</f>
        <v>Rejected</v>
      </c>
      <c r="U240">
        <f>IF(RecruitmentTable[[#This Row],[Final Status]]="Selected",1,0)</f>
        <v>0</v>
      </c>
    </row>
    <row r="241" spans="1:21" x14ac:dyDescent="0.25">
      <c r="A241" t="s">
        <v>462</v>
      </c>
      <c r="B241" t="s">
        <v>435</v>
      </c>
      <c r="C241" s="1">
        <v>46183</v>
      </c>
      <c r="D241" t="s">
        <v>41</v>
      </c>
      <c r="E241" t="s">
        <v>42</v>
      </c>
      <c r="F241" t="s">
        <v>57</v>
      </c>
      <c r="G241" t="s">
        <v>24</v>
      </c>
      <c r="H241" t="s">
        <v>72</v>
      </c>
      <c r="I241" t="s">
        <v>26</v>
      </c>
      <c r="J241" t="s">
        <v>27</v>
      </c>
      <c r="K241" s="1">
        <v>46196</v>
      </c>
      <c r="L241" t="s">
        <v>28</v>
      </c>
      <c r="M241" t="s">
        <v>37</v>
      </c>
      <c r="O241" t="s">
        <v>38</v>
      </c>
      <c r="Q241">
        <v>13</v>
      </c>
      <c r="T241" t="str">
        <f>IF(RecruitmentTable[[#This Row],[Final Status]]="In process","Screening",IF(RecruitmentTable[[#This Row],[Final Status]]="Selected","Offer","Rejected"))</f>
        <v>Rejected</v>
      </c>
      <c r="U241">
        <f>IF(RecruitmentTable[[#This Row],[Final Status]]="Selected",1,0)</f>
        <v>0</v>
      </c>
    </row>
    <row r="242" spans="1:21" x14ac:dyDescent="0.25">
      <c r="A242" t="s">
        <v>463</v>
      </c>
      <c r="B242" t="s">
        <v>76</v>
      </c>
      <c r="C242" s="1">
        <v>46108</v>
      </c>
      <c r="D242" t="s">
        <v>65</v>
      </c>
      <c r="E242" t="s">
        <v>42</v>
      </c>
      <c r="F242" t="s">
        <v>57</v>
      </c>
      <c r="G242" t="s">
        <v>36</v>
      </c>
      <c r="H242" t="s">
        <v>51</v>
      </c>
      <c r="I242" t="s">
        <v>26</v>
      </c>
      <c r="J242" t="s">
        <v>27</v>
      </c>
      <c r="K242" s="1">
        <v>46120</v>
      </c>
      <c r="L242" t="s">
        <v>28</v>
      </c>
      <c r="M242" t="s">
        <v>37</v>
      </c>
      <c r="O242" t="s">
        <v>38</v>
      </c>
      <c r="Q242">
        <v>12</v>
      </c>
      <c r="T242" t="str">
        <f>IF(RecruitmentTable[[#This Row],[Final Status]]="In process","Screening",IF(RecruitmentTable[[#This Row],[Final Status]]="Selected","Offer","Rejected"))</f>
        <v>Rejected</v>
      </c>
      <c r="U242">
        <f>IF(RecruitmentTable[[#This Row],[Final Status]]="Selected",1,0)</f>
        <v>0</v>
      </c>
    </row>
    <row r="243" spans="1:21" x14ac:dyDescent="0.25">
      <c r="A243" t="s">
        <v>464</v>
      </c>
      <c r="B243" t="s">
        <v>465</v>
      </c>
      <c r="C243" s="1">
        <v>46120</v>
      </c>
      <c r="D243" t="s">
        <v>33</v>
      </c>
      <c r="E243" t="s">
        <v>34</v>
      </c>
      <c r="F243" t="s">
        <v>50</v>
      </c>
      <c r="G243" t="s">
        <v>36</v>
      </c>
      <c r="H243" t="s">
        <v>44</v>
      </c>
      <c r="I243" t="s">
        <v>26</v>
      </c>
      <c r="J243" t="s">
        <v>27</v>
      </c>
      <c r="K243" s="1">
        <v>46133</v>
      </c>
      <c r="L243" t="s">
        <v>28</v>
      </c>
      <c r="M243" t="s">
        <v>37</v>
      </c>
      <c r="O243" t="s">
        <v>38</v>
      </c>
      <c r="Q243">
        <v>13</v>
      </c>
      <c r="T243" t="str">
        <f>IF(RecruitmentTable[[#This Row],[Final Status]]="In process","Screening",IF(RecruitmentTable[[#This Row],[Final Status]]="Selected","Offer","Rejected"))</f>
        <v>Rejected</v>
      </c>
      <c r="U243">
        <f>IF(RecruitmentTable[[#This Row],[Final Status]]="Selected",1,0)</f>
        <v>0</v>
      </c>
    </row>
    <row r="244" spans="1:21" x14ac:dyDescent="0.25">
      <c r="A244" t="s">
        <v>466</v>
      </c>
      <c r="B244" t="s">
        <v>193</v>
      </c>
      <c r="C244" s="1">
        <v>46071</v>
      </c>
      <c r="D244" t="s">
        <v>41</v>
      </c>
      <c r="E244" t="s">
        <v>42</v>
      </c>
      <c r="F244" t="s">
        <v>57</v>
      </c>
      <c r="G244" t="s">
        <v>24</v>
      </c>
      <c r="H244" t="s">
        <v>44</v>
      </c>
      <c r="I244" t="s">
        <v>37</v>
      </c>
      <c r="J244" t="s">
        <v>38</v>
      </c>
      <c r="K244" s="1"/>
      <c r="L244" t="s">
        <v>38</v>
      </c>
      <c r="M244" t="s">
        <v>37</v>
      </c>
      <c r="O244" t="s">
        <v>38</v>
      </c>
      <c r="T244" t="str">
        <f>IF(RecruitmentTable[[#This Row],[Final Status]]="In process","Screening",IF(RecruitmentTable[[#This Row],[Final Status]]="Selected","Offer","Rejected"))</f>
        <v>Rejected</v>
      </c>
      <c r="U244">
        <f>IF(RecruitmentTable[[#This Row],[Final Status]]="Selected",1,0)</f>
        <v>0</v>
      </c>
    </row>
    <row r="245" spans="1:21" x14ac:dyDescent="0.25">
      <c r="A245" t="s">
        <v>467</v>
      </c>
      <c r="B245" t="s">
        <v>129</v>
      </c>
      <c r="C245" s="1">
        <v>46254</v>
      </c>
      <c r="D245" t="s">
        <v>33</v>
      </c>
      <c r="E245" t="s">
        <v>34</v>
      </c>
      <c r="F245" t="s">
        <v>100</v>
      </c>
      <c r="G245" t="s">
        <v>47</v>
      </c>
      <c r="H245" t="s">
        <v>62</v>
      </c>
      <c r="I245" t="s">
        <v>37</v>
      </c>
      <c r="J245" t="s">
        <v>38</v>
      </c>
      <c r="K245" s="1"/>
      <c r="L245" t="s">
        <v>38</v>
      </c>
      <c r="M245" t="s">
        <v>37</v>
      </c>
      <c r="O245" t="s">
        <v>38</v>
      </c>
      <c r="T245" t="str">
        <f>IF(RecruitmentTable[[#This Row],[Final Status]]="In process","Screening",IF(RecruitmentTable[[#This Row],[Final Status]]="Selected","Offer","Rejected"))</f>
        <v>Rejected</v>
      </c>
      <c r="U245">
        <f>IF(RecruitmentTable[[#This Row],[Final Status]]="Selected",1,0)</f>
        <v>0</v>
      </c>
    </row>
    <row r="246" spans="1:21" x14ac:dyDescent="0.25">
      <c r="A246" t="s">
        <v>468</v>
      </c>
      <c r="B246" t="s">
        <v>469</v>
      </c>
      <c r="C246" s="1">
        <v>46048</v>
      </c>
      <c r="D246" t="s">
        <v>65</v>
      </c>
      <c r="E246" t="s">
        <v>42</v>
      </c>
      <c r="F246" t="s">
        <v>57</v>
      </c>
      <c r="G246" t="s">
        <v>36</v>
      </c>
      <c r="H246" t="s">
        <v>62</v>
      </c>
      <c r="I246" t="s">
        <v>37</v>
      </c>
      <c r="J246" t="s">
        <v>38</v>
      </c>
      <c r="K246" s="1"/>
      <c r="L246" t="s">
        <v>38</v>
      </c>
      <c r="M246" t="s">
        <v>37</v>
      </c>
      <c r="O246" t="s">
        <v>38</v>
      </c>
      <c r="T246" t="str">
        <f>IF(RecruitmentTable[[#This Row],[Final Status]]="In process","Screening",IF(RecruitmentTable[[#This Row],[Final Status]]="Selected","Offer","Rejected"))</f>
        <v>Rejected</v>
      </c>
      <c r="U246">
        <f>IF(RecruitmentTable[[#This Row],[Final Status]]="Selected",1,0)</f>
        <v>0</v>
      </c>
    </row>
    <row r="247" spans="1:21" x14ac:dyDescent="0.25">
      <c r="A247" t="s">
        <v>470</v>
      </c>
      <c r="B247" t="s">
        <v>454</v>
      </c>
      <c r="C247" s="1">
        <v>46249</v>
      </c>
      <c r="D247" t="s">
        <v>41</v>
      </c>
      <c r="E247" t="s">
        <v>42</v>
      </c>
      <c r="F247" t="s">
        <v>23</v>
      </c>
      <c r="G247" t="s">
        <v>36</v>
      </c>
      <c r="H247" t="s">
        <v>51</v>
      </c>
      <c r="I247" t="s">
        <v>26</v>
      </c>
      <c r="J247" t="s">
        <v>27</v>
      </c>
      <c r="K247" s="1">
        <v>46264</v>
      </c>
      <c r="L247" t="s">
        <v>28</v>
      </c>
      <c r="M247" t="s">
        <v>29</v>
      </c>
      <c r="N247" s="1">
        <v>46269</v>
      </c>
      <c r="O247" t="s">
        <v>30</v>
      </c>
      <c r="P247" s="1">
        <v>46287</v>
      </c>
      <c r="Q247">
        <v>15</v>
      </c>
      <c r="R247">
        <v>5</v>
      </c>
      <c r="S247">
        <v>18</v>
      </c>
      <c r="T247" t="str">
        <f>IF(RecruitmentTable[[#This Row],[Final Status]]="In process","Screening",IF(RecruitmentTable[[#This Row],[Final Status]]="Selected","Offer","Rejected"))</f>
        <v>Offer</v>
      </c>
      <c r="U247">
        <f>IF(RecruitmentTable[[#This Row],[Final Status]]="Selected",1,0)</f>
        <v>1</v>
      </c>
    </row>
    <row r="248" spans="1:21" x14ac:dyDescent="0.25">
      <c r="A248" t="s">
        <v>471</v>
      </c>
      <c r="B248" t="s">
        <v>389</v>
      </c>
      <c r="C248" s="1">
        <v>46107</v>
      </c>
      <c r="D248" t="s">
        <v>56</v>
      </c>
      <c r="E248" t="s">
        <v>34</v>
      </c>
      <c r="F248" t="s">
        <v>57</v>
      </c>
      <c r="G248" t="s">
        <v>36</v>
      </c>
      <c r="H248" t="s">
        <v>51</v>
      </c>
      <c r="I248" t="s">
        <v>26</v>
      </c>
      <c r="J248" t="s">
        <v>38</v>
      </c>
      <c r="K248" s="1"/>
      <c r="L248" t="s">
        <v>58</v>
      </c>
      <c r="M248" t="s">
        <v>59</v>
      </c>
      <c r="O248" t="s">
        <v>38</v>
      </c>
      <c r="T248" t="str">
        <f>IF(RecruitmentTable[[#This Row],[Final Status]]="In process","Screening",IF(RecruitmentTable[[#This Row],[Final Status]]="Selected","Offer","Rejected"))</f>
        <v>Screening</v>
      </c>
      <c r="U248">
        <f>IF(RecruitmentTable[[#This Row],[Final Status]]="Selected",1,0)</f>
        <v>0</v>
      </c>
    </row>
    <row r="249" spans="1:21" x14ac:dyDescent="0.25">
      <c r="A249" t="s">
        <v>472</v>
      </c>
      <c r="B249" t="s">
        <v>55</v>
      </c>
      <c r="C249" s="1">
        <v>46285</v>
      </c>
      <c r="D249" t="s">
        <v>65</v>
      </c>
      <c r="E249" t="s">
        <v>42</v>
      </c>
      <c r="F249" t="s">
        <v>100</v>
      </c>
      <c r="G249" t="s">
        <v>84</v>
      </c>
      <c r="H249" t="s">
        <v>62</v>
      </c>
      <c r="I249" t="s">
        <v>37</v>
      </c>
      <c r="J249" t="s">
        <v>38</v>
      </c>
      <c r="K249" s="1"/>
      <c r="L249" t="s">
        <v>38</v>
      </c>
      <c r="M249" t="s">
        <v>37</v>
      </c>
      <c r="O249" t="s">
        <v>38</v>
      </c>
      <c r="T249" t="str">
        <f>IF(RecruitmentTable[[#This Row],[Final Status]]="In process","Screening",IF(RecruitmentTable[[#This Row],[Final Status]]="Selected","Offer","Rejected"))</f>
        <v>Rejected</v>
      </c>
      <c r="U249">
        <f>IF(RecruitmentTable[[#This Row],[Final Status]]="Selected",1,0)</f>
        <v>0</v>
      </c>
    </row>
    <row r="250" spans="1:21" x14ac:dyDescent="0.25">
      <c r="A250" t="s">
        <v>473</v>
      </c>
      <c r="B250" t="s">
        <v>474</v>
      </c>
      <c r="C250" s="1">
        <v>46151</v>
      </c>
      <c r="D250" t="s">
        <v>41</v>
      </c>
      <c r="E250" t="s">
        <v>42</v>
      </c>
      <c r="F250" t="s">
        <v>50</v>
      </c>
      <c r="G250" t="s">
        <v>84</v>
      </c>
      <c r="H250" t="s">
        <v>62</v>
      </c>
      <c r="I250" t="s">
        <v>26</v>
      </c>
      <c r="J250" t="s">
        <v>38</v>
      </c>
      <c r="K250" s="1"/>
      <c r="L250" t="s">
        <v>58</v>
      </c>
      <c r="M250" t="s">
        <v>59</v>
      </c>
      <c r="O250" t="s">
        <v>38</v>
      </c>
      <c r="T250" t="str">
        <f>IF(RecruitmentTable[[#This Row],[Final Status]]="In process","Screening",IF(RecruitmentTable[[#This Row],[Final Status]]="Selected","Offer","Rejected"))</f>
        <v>Screening</v>
      </c>
      <c r="U250">
        <f>IF(RecruitmentTable[[#This Row],[Final Status]]="Selected",1,0)</f>
        <v>0</v>
      </c>
    </row>
    <row r="251" spans="1:21" x14ac:dyDescent="0.25">
      <c r="A251" t="s">
        <v>475</v>
      </c>
      <c r="B251" t="s">
        <v>276</v>
      </c>
      <c r="C251" s="1">
        <v>46054</v>
      </c>
      <c r="D251" t="s">
        <v>41</v>
      </c>
      <c r="E251" t="s">
        <v>42</v>
      </c>
      <c r="F251" t="s">
        <v>43</v>
      </c>
      <c r="G251" t="s">
        <v>71</v>
      </c>
      <c r="H251" t="s">
        <v>72</v>
      </c>
      <c r="I251" t="s">
        <v>26</v>
      </c>
      <c r="J251" t="s">
        <v>38</v>
      </c>
      <c r="K251" s="1"/>
      <c r="L251" t="s">
        <v>58</v>
      </c>
      <c r="M251" t="s">
        <v>59</v>
      </c>
      <c r="O251" t="s">
        <v>38</v>
      </c>
      <c r="T251" t="str">
        <f>IF(RecruitmentTable[[#This Row],[Final Status]]="In process","Screening",IF(RecruitmentTable[[#This Row],[Final Status]]="Selected","Offer","Rejected"))</f>
        <v>Screening</v>
      </c>
      <c r="U251">
        <f>IF(RecruitmentTable[[#This Row],[Final Status]]="Selected",1,0)</f>
        <v>0</v>
      </c>
    </row>
    <row r="252" spans="1:21" x14ac:dyDescent="0.25">
      <c r="A252" t="s">
        <v>476</v>
      </c>
      <c r="B252" t="s">
        <v>68</v>
      </c>
      <c r="C252" s="1">
        <v>46282</v>
      </c>
      <c r="D252" t="s">
        <v>33</v>
      </c>
      <c r="E252" t="s">
        <v>34</v>
      </c>
      <c r="F252" t="s">
        <v>50</v>
      </c>
      <c r="G252" t="s">
        <v>66</v>
      </c>
      <c r="H252" t="s">
        <v>62</v>
      </c>
      <c r="I252" t="s">
        <v>37</v>
      </c>
      <c r="J252" t="s">
        <v>38</v>
      </c>
      <c r="K252" s="1"/>
      <c r="L252" t="s">
        <v>38</v>
      </c>
      <c r="M252" t="s">
        <v>37</v>
      </c>
      <c r="O252" t="s">
        <v>38</v>
      </c>
      <c r="T252" t="str">
        <f>IF(RecruitmentTable[[#This Row],[Final Status]]="In process","Screening",IF(RecruitmentTable[[#This Row],[Final Status]]="Selected","Offer","Rejected"))</f>
        <v>Rejected</v>
      </c>
      <c r="U252">
        <f>IF(RecruitmentTable[[#This Row],[Final Status]]="Selected",1,0)</f>
        <v>0</v>
      </c>
    </row>
    <row r="253" spans="1:21" x14ac:dyDescent="0.25">
      <c r="A253" t="s">
        <v>477</v>
      </c>
      <c r="B253" t="s">
        <v>99</v>
      </c>
      <c r="C253" s="1">
        <v>46218</v>
      </c>
      <c r="D253" t="s">
        <v>21</v>
      </c>
      <c r="E253" t="s">
        <v>22</v>
      </c>
      <c r="F253" t="s">
        <v>57</v>
      </c>
      <c r="G253" t="s">
        <v>47</v>
      </c>
      <c r="H253" t="s">
        <v>25</v>
      </c>
      <c r="I253" t="s">
        <v>37</v>
      </c>
      <c r="J253" t="s">
        <v>38</v>
      </c>
      <c r="K253" s="1"/>
      <c r="L253" t="s">
        <v>38</v>
      </c>
      <c r="M253" t="s">
        <v>37</v>
      </c>
      <c r="O253" t="s">
        <v>38</v>
      </c>
      <c r="T253" t="str">
        <f>IF(RecruitmentTable[[#This Row],[Final Status]]="In process","Screening",IF(RecruitmentTable[[#This Row],[Final Status]]="Selected","Offer","Rejected"))</f>
        <v>Rejected</v>
      </c>
      <c r="U253">
        <f>IF(RecruitmentTable[[#This Row],[Final Status]]="Selected",1,0)</f>
        <v>0</v>
      </c>
    </row>
    <row r="254" spans="1:21" x14ac:dyDescent="0.25">
      <c r="A254" t="s">
        <v>478</v>
      </c>
      <c r="B254" t="s">
        <v>479</v>
      </c>
      <c r="C254" s="1">
        <v>46156</v>
      </c>
      <c r="D254" t="s">
        <v>21</v>
      </c>
      <c r="E254" t="s">
        <v>22</v>
      </c>
      <c r="F254" t="s">
        <v>35</v>
      </c>
      <c r="G254" t="s">
        <v>84</v>
      </c>
      <c r="H254" t="s">
        <v>44</v>
      </c>
      <c r="I254" t="s">
        <v>26</v>
      </c>
      <c r="J254" t="s">
        <v>27</v>
      </c>
      <c r="K254" s="1">
        <v>46162</v>
      </c>
      <c r="L254" t="s">
        <v>28</v>
      </c>
      <c r="M254" t="s">
        <v>37</v>
      </c>
      <c r="O254" t="s">
        <v>38</v>
      </c>
      <c r="Q254">
        <v>6</v>
      </c>
      <c r="T254" t="str">
        <f>IF(RecruitmentTable[[#This Row],[Final Status]]="In process","Screening",IF(RecruitmentTable[[#This Row],[Final Status]]="Selected","Offer","Rejected"))</f>
        <v>Rejected</v>
      </c>
      <c r="U254">
        <f>IF(RecruitmentTable[[#This Row],[Final Status]]="Selected",1,0)</f>
        <v>0</v>
      </c>
    </row>
    <row r="255" spans="1:21" x14ac:dyDescent="0.25">
      <c r="A255" t="s">
        <v>480</v>
      </c>
      <c r="B255" t="s">
        <v>189</v>
      </c>
      <c r="C255" s="1">
        <v>46178</v>
      </c>
      <c r="D255" t="s">
        <v>21</v>
      </c>
      <c r="E255" t="s">
        <v>22</v>
      </c>
      <c r="F255" t="s">
        <v>57</v>
      </c>
      <c r="G255" t="s">
        <v>24</v>
      </c>
      <c r="H255" t="s">
        <v>44</v>
      </c>
      <c r="I255" t="s">
        <v>37</v>
      </c>
      <c r="J255" t="s">
        <v>38</v>
      </c>
      <c r="K255" s="1"/>
      <c r="L255" t="s">
        <v>38</v>
      </c>
      <c r="M255" t="s">
        <v>37</v>
      </c>
      <c r="O255" t="s">
        <v>38</v>
      </c>
      <c r="T255" t="str">
        <f>IF(RecruitmentTable[[#This Row],[Final Status]]="In process","Screening",IF(RecruitmentTable[[#This Row],[Final Status]]="Selected","Offer","Rejected"))</f>
        <v>Rejected</v>
      </c>
      <c r="U255">
        <f>IF(RecruitmentTable[[#This Row],[Final Status]]="Selected",1,0)</f>
        <v>0</v>
      </c>
    </row>
    <row r="256" spans="1:21" x14ac:dyDescent="0.25">
      <c r="A256" t="s">
        <v>481</v>
      </c>
      <c r="B256" t="s">
        <v>173</v>
      </c>
      <c r="C256" s="1">
        <v>46097</v>
      </c>
      <c r="D256" t="s">
        <v>65</v>
      </c>
      <c r="E256" t="s">
        <v>42</v>
      </c>
      <c r="F256" t="s">
        <v>43</v>
      </c>
      <c r="G256" t="s">
        <v>36</v>
      </c>
      <c r="H256" t="s">
        <v>25</v>
      </c>
      <c r="I256" t="s">
        <v>37</v>
      </c>
      <c r="J256" t="s">
        <v>38</v>
      </c>
      <c r="K256" s="1"/>
      <c r="L256" t="s">
        <v>38</v>
      </c>
      <c r="M256" t="s">
        <v>37</v>
      </c>
      <c r="O256" t="s">
        <v>38</v>
      </c>
      <c r="T256" t="str">
        <f>IF(RecruitmentTable[[#This Row],[Final Status]]="In process","Screening",IF(RecruitmentTable[[#This Row],[Final Status]]="Selected","Offer","Rejected"))</f>
        <v>Rejected</v>
      </c>
      <c r="U256">
        <f>IF(RecruitmentTable[[#This Row],[Final Status]]="Selected",1,0)</f>
        <v>0</v>
      </c>
    </row>
    <row r="257" spans="1:21" x14ac:dyDescent="0.25">
      <c r="A257" t="s">
        <v>482</v>
      </c>
      <c r="B257" t="s">
        <v>401</v>
      </c>
      <c r="C257" s="1">
        <v>46234</v>
      </c>
      <c r="D257" t="s">
        <v>21</v>
      </c>
      <c r="E257" t="s">
        <v>22</v>
      </c>
      <c r="F257" t="s">
        <v>43</v>
      </c>
      <c r="G257" t="s">
        <v>24</v>
      </c>
      <c r="H257" t="s">
        <v>44</v>
      </c>
      <c r="I257" t="s">
        <v>37</v>
      </c>
      <c r="J257" t="s">
        <v>38</v>
      </c>
      <c r="K257" s="1"/>
      <c r="L257" t="s">
        <v>38</v>
      </c>
      <c r="M257" t="s">
        <v>37</v>
      </c>
      <c r="O257" t="s">
        <v>38</v>
      </c>
      <c r="T257" t="str">
        <f>IF(RecruitmentTable[[#This Row],[Final Status]]="In process","Screening",IF(RecruitmentTable[[#This Row],[Final Status]]="Selected","Offer","Rejected"))</f>
        <v>Rejected</v>
      </c>
      <c r="U257">
        <f>IF(RecruitmentTable[[#This Row],[Final Status]]="Selected",1,0)</f>
        <v>0</v>
      </c>
    </row>
    <row r="258" spans="1:21" x14ac:dyDescent="0.25">
      <c r="A258" t="s">
        <v>483</v>
      </c>
      <c r="B258" t="s">
        <v>115</v>
      </c>
      <c r="C258" s="1">
        <v>46170</v>
      </c>
      <c r="D258" t="s">
        <v>56</v>
      </c>
      <c r="E258" t="s">
        <v>34</v>
      </c>
      <c r="F258" t="s">
        <v>57</v>
      </c>
      <c r="G258" t="s">
        <v>47</v>
      </c>
      <c r="H258" t="s">
        <v>62</v>
      </c>
      <c r="I258" t="s">
        <v>37</v>
      </c>
      <c r="J258" t="s">
        <v>38</v>
      </c>
      <c r="K258" s="1"/>
      <c r="L258" t="s">
        <v>38</v>
      </c>
      <c r="M258" t="s">
        <v>37</v>
      </c>
      <c r="O258" t="s">
        <v>38</v>
      </c>
      <c r="T258" t="str">
        <f>IF(RecruitmentTable[[#This Row],[Final Status]]="In process","Screening",IF(RecruitmentTable[[#This Row],[Final Status]]="Selected","Offer","Rejected"))</f>
        <v>Rejected</v>
      </c>
      <c r="U258">
        <f>IF(RecruitmentTable[[#This Row],[Final Status]]="Selected",1,0)</f>
        <v>0</v>
      </c>
    </row>
    <row r="259" spans="1:21" x14ac:dyDescent="0.25">
      <c r="A259" t="s">
        <v>484</v>
      </c>
      <c r="B259" t="s">
        <v>485</v>
      </c>
      <c r="C259" s="1">
        <v>46165</v>
      </c>
      <c r="D259" t="s">
        <v>41</v>
      </c>
      <c r="E259" t="s">
        <v>42</v>
      </c>
      <c r="F259" t="s">
        <v>43</v>
      </c>
      <c r="G259" t="s">
        <v>24</v>
      </c>
      <c r="H259" t="s">
        <v>44</v>
      </c>
      <c r="I259" t="s">
        <v>37</v>
      </c>
      <c r="J259" t="s">
        <v>38</v>
      </c>
      <c r="K259" s="1"/>
      <c r="L259" t="s">
        <v>38</v>
      </c>
      <c r="M259" t="s">
        <v>37</v>
      </c>
      <c r="O259" t="s">
        <v>38</v>
      </c>
      <c r="T259" t="str">
        <f>IF(RecruitmentTable[[#This Row],[Final Status]]="In process","Screening",IF(RecruitmentTable[[#This Row],[Final Status]]="Selected","Offer","Rejected"))</f>
        <v>Rejected</v>
      </c>
      <c r="U259">
        <f>IF(RecruitmentTable[[#This Row],[Final Status]]="Selected",1,0)</f>
        <v>0</v>
      </c>
    </row>
    <row r="260" spans="1:21" x14ac:dyDescent="0.25">
      <c r="A260" t="s">
        <v>486</v>
      </c>
      <c r="B260" t="s">
        <v>20</v>
      </c>
      <c r="C260" s="1">
        <v>46061</v>
      </c>
      <c r="D260" t="s">
        <v>21</v>
      </c>
      <c r="E260" t="s">
        <v>22</v>
      </c>
      <c r="F260" t="s">
        <v>100</v>
      </c>
      <c r="G260" t="s">
        <v>24</v>
      </c>
      <c r="H260" t="s">
        <v>62</v>
      </c>
      <c r="I260" t="s">
        <v>37</v>
      </c>
      <c r="J260" t="s">
        <v>38</v>
      </c>
      <c r="K260" s="1"/>
      <c r="L260" t="s">
        <v>38</v>
      </c>
      <c r="M260" t="s">
        <v>37</v>
      </c>
      <c r="O260" t="s">
        <v>38</v>
      </c>
      <c r="T260" t="str">
        <f>IF(RecruitmentTable[[#This Row],[Final Status]]="In process","Screening",IF(RecruitmentTable[[#This Row],[Final Status]]="Selected","Offer","Rejected"))</f>
        <v>Rejected</v>
      </c>
      <c r="U260">
        <f>IF(RecruitmentTable[[#This Row],[Final Status]]="Selected",1,0)</f>
        <v>0</v>
      </c>
    </row>
    <row r="261" spans="1:21" x14ac:dyDescent="0.25">
      <c r="A261" t="s">
        <v>487</v>
      </c>
      <c r="B261" t="s">
        <v>488</v>
      </c>
      <c r="C261" s="1">
        <v>46068</v>
      </c>
      <c r="D261" t="s">
        <v>83</v>
      </c>
      <c r="E261" t="s">
        <v>34</v>
      </c>
      <c r="F261" t="s">
        <v>35</v>
      </c>
      <c r="G261" t="s">
        <v>47</v>
      </c>
      <c r="H261" t="s">
        <v>62</v>
      </c>
      <c r="I261" t="s">
        <v>26</v>
      </c>
      <c r="J261" t="s">
        <v>38</v>
      </c>
      <c r="K261" s="1"/>
      <c r="L261" t="s">
        <v>58</v>
      </c>
      <c r="M261" t="s">
        <v>59</v>
      </c>
      <c r="O261" t="s">
        <v>38</v>
      </c>
      <c r="T261" t="str">
        <f>IF(RecruitmentTable[[#This Row],[Final Status]]="In process","Screening",IF(RecruitmentTable[[#This Row],[Final Status]]="Selected","Offer","Rejected"))</f>
        <v>Screening</v>
      </c>
      <c r="U261">
        <f>IF(RecruitmentTable[[#This Row],[Final Status]]="Selected",1,0)</f>
        <v>0</v>
      </c>
    </row>
    <row r="262" spans="1:21" x14ac:dyDescent="0.25">
      <c r="A262" t="s">
        <v>489</v>
      </c>
      <c r="B262" t="s">
        <v>338</v>
      </c>
      <c r="C262" s="1">
        <v>46292</v>
      </c>
      <c r="D262" t="s">
        <v>33</v>
      </c>
      <c r="E262" t="s">
        <v>34</v>
      </c>
      <c r="F262" t="s">
        <v>23</v>
      </c>
      <c r="G262" t="s">
        <v>84</v>
      </c>
      <c r="H262" t="s">
        <v>62</v>
      </c>
      <c r="I262" t="s">
        <v>37</v>
      </c>
      <c r="J262" t="s">
        <v>38</v>
      </c>
      <c r="K262" s="1"/>
      <c r="L262" t="s">
        <v>38</v>
      </c>
      <c r="M262" t="s">
        <v>37</v>
      </c>
      <c r="O262" t="s">
        <v>38</v>
      </c>
      <c r="T262" t="str">
        <f>IF(RecruitmentTable[[#This Row],[Final Status]]="In process","Screening",IF(RecruitmentTable[[#This Row],[Final Status]]="Selected","Offer","Rejected"))</f>
        <v>Rejected</v>
      </c>
      <c r="U262">
        <f>IF(RecruitmentTable[[#This Row],[Final Status]]="Selected",1,0)</f>
        <v>0</v>
      </c>
    </row>
    <row r="263" spans="1:21" x14ac:dyDescent="0.25">
      <c r="A263" t="s">
        <v>490</v>
      </c>
      <c r="B263" t="s">
        <v>189</v>
      </c>
      <c r="C263" s="1">
        <v>46223</v>
      </c>
      <c r="D263" t="s">
        <v>21</v>
      </c>
      <c r="E263" t="s">
        <v>22</v>
      </c>
      <c r="F263" t="s">
        <v>50</v>
      </c>
      <c r="G263" t="s">
        <v>66</v>
      </c>
      <c r="H263" t="s">
        <v>72</v>
      </c>
      <c r="I263" t="s">
        <v>26</v>
      </c>
      <c r="J263" t="s">
        <v>38</v>
      </c>
      <c r="K263" s="1"/>
      <c r="L263" t="s">
        <v>58</v>
      </c>
      <c r="M263" t="s">
        <v>59</v>
      </c>
      <c r="O263" t="s">
        <v>38</v>
      </c>
      <c r="T263" t="str">
        <f>IF(RecruitmentTable[[#This Row],[Final Status]]="In process","Screening",IF(RecruitmentTable[[#This Row],[Final Status]]="Selected","Offer","Rejected"))</f>
        <v>Screening</v>
      </c>
      <c r="U263">
        <f>IF(RecruitmentTable[[#This Row],[Final Status]]="Selected",1,0)</f>
        <v>0</v>
      </c>
    </row>
    <row r="264" spans="1:21" x14ac:dyDescent="0.25">
      <c r="A264" t="s">
        <v>491</v>
      </c>
      <c r="B264" t="s">
        <v>492</v>
      </c>
      <c r="C264" s="1">
        <v>46142</v>
      </c>
      <c r="D264" t="s">
        <v>21</v>
      </c>
      <c r="E264" t="s">
        <v>22</v>
      </c>
      <c r="F264" t="s">
        <v>57</v>
      </c>
      <c r="G264" t="s">
        <v>36</v>
      </c>
      <c r="H264" t="s">
        <v>72</v>
      </c>
      <c r="I264" t="s">
        <v>26</v>
      </c>
      <c r="J264" t="s">
        <v>27</v>
      </c>
      <c r="K264" s="1">
        <v>46156</v>
      </c>
      <c r="L264" t="s">
        <v>28</v>
      </c>
      <c r="M264" t="s">
        <v>37</v>
      </c>
      <c r="O264" t="s">
        <v>38</v>
      </c>
      <c r="Q264">
        <v>14</v>
      </c>
      <c r="T264" t="str">
        <f>IF(RecruitmentTable[[#This Row],[Final Status]]="In process","Screening",IF(RecruitmentTable[[#This Row],[Final Status]]="Selected","Offer","Rejected"))</f>
        <v>Rejected</v>
      </c>
      <c r="U264">
        <f>IF(RecruitmentTable[[#This Row],[Final Status]]="Selected",1,0)</f>
        <v>0</v>
      </c>
    </row>
    <row r="265" spans="1:21" x14ac:dyDescent="0.25">
      <c r="A265" t="s">
        <v>493</v>
      </c>
      <c r="B265" t="s">
        <v>474</v>
      </c>
      <c r="C265" s="1">
        <v>46244</v>
      </c>
      <c r="D265" t="s">
        <v>65</v>
      </c>
      <c r="E265" t="s">
        <v>42</v>
      </c>
      <c r="F265" t="s">
        <v>100</v>
      </c>
      <c r="G265" t="s">
        <v>24</v>
      </c>
      <c r="H265" t="s">
        <v>51</v>
      </c>
      <c r="I265" t="s">
        <v>37</v>
      </c>
      <c r="J265" t="s">
        <v>38</v>
      </c>
      <c r="K265" s="1"/>
      <c r="L265" t="s">
        <v>38</v>
      </c>
      <c r="M265" t="s">
        <v>37</v>
      </c>
      <c r="O265" t="s">
        <v>38</v>
      </c>
      <c r="T265" t="str">
        <f>IF(RecruitmentTable[[#This Row],[Final Status]]="In process","Screening",IF(RecruitmentTable[[#This Row],[Final Status]]="Selected","Offer","Rejected"))</f>
        <v>Rejected</v>
      </c>
      <c r="U265">
        <f>IF(RecruitmentTable[[#This Row],[Final Status]]="Selected",1,0)</f>
        <v>0</v>
      </c>
    </row>
    <row r="266" spans="1:21" x14ac:dyDescent="0.25">
      <c r="A266" t="s">
        <v>494</v>
      </c>
      <c r="B266" t="s">
        <v>121</v>
      </c>
      <c r="C266" s="1">
        <v>46142</v>
      </c>
      <c r="D266" t="s">
        <v>41</v>
      </c>
      <c r="E266" t="s">
        <v>42</v>
      </c>
      <c r="F266" t="s">
        <v>57</v>
      </c>
      <c r="G266" t="s">
        <v>24</v>
      </c>
      <c r="H266" t="s">
        <v>72</v>
      </c>
      <c r="I266" t="s">
        <v>26</v>
      </c>
      <c r="J266" t="s">
        <v>27</v>
      </c>
      <c r="K266" s="1">
        <v>46150</v>
      </c>
      <c r="L266" t="s">
        <v>28</v>
      </c>
      <c r="M266" t="s">
        <v>29</v>
      </c>
      <c r="N266" s="1">
        <v>46156</v>
      </c>
      <c r="O266" t="s">
        <v>30</v>
      </c>
      <c r="P266" s="1">
        <v>46181</v>
      </c>
      <c r="Q266">
        <v>8</v>
      </c>
      <c r="R266">
        <v>6</v>
      </c>
      <c r="S266">
        <v>25</v>
      </c>
      <c r="T266" t="str">
        <f>IF(RecruitmentTable[[#This Row],[Final Status]]="In process","Screening",IF(RecruitmentTable[[#This Row],[Final Status]]="Selected","Offer","Rejected"))</f>
        <v>Offer</v>
      </c>
      <c r="U266">
        <f>IF(RecruitmentTable[[#This Row],[Final Status]]="Selected",1,0)</f>
        <v>1</v>
      </c>
    </row>
    <row r="267" spans="1:21" x14ac:dyDescent="0.25">
      <c r="A267" t="s">
        <v>495</v>
      </c>
      <c r="B267" t="s">
        <v>20</v>
      </c>
      <c r="C267" s="1">
        <v>46194</v>
      </c>
      <c r="D267" t="s">
        <v>41</v>
      </c>
      <c r="E267" t="s">
        <v>42</v>
      </c>
      <c r="F267" t="s">
        <v>100</v>
      </c>
      <c r="G267" t="s">
        <v>24</v>
      </c>
      <c r="H267" t="s">
        <v>44</v>
      </c>
      <c r="I267" t="s">
        <v>37</v>
      </c>
      <c r="J267" t="s">
        <v>38</v>
      </c>
      <c r="K267" s="1"/>
      <c r="L267" t="s">
        <v>38</v>
      </c>
      <c r="M267" t="s">
        <v>37</v>
      </c>
      <c r="O267" t="s">
        <v>38</v>
      </c>
      <c r="T267" t="str">
        <f>IF(RecruitmentTable[[#This Row],[Final Status]]="In process","Screening",IF(RecruitmentTable[[#This Row],[Final Status]]="Selected","Offer","Rejected"))</f>
        <v>Rejected</v>
      </c>
      <c r="U267">
        <f>IF(RecruitmentTable[[#This Row],[Final Status]]="Selected",1,0)</f>
        <v>0</v>
      </c>
    </row>
    <row r="268" spans="1:21" x14ac:dyDescent="0.25">
      <c r="A268" t="s">
        <v>496</v>
      </c>
      <c r="B268" t="s">
        <v>416</v>
      </c>
      <c r="C268" s="1">
        <v>46087</v>
      </c>
      <c r="D268" t="s">
        <v>41</v>
      </c>
      <c r="E268" t="s">
        <v>42</v>
      </c>
      <c r="F268" t="s">
        <v>57</v>
      </c>
      <c r="G268" t="s">
        <v>71</v>
      </c>
      <c r="H268" t="s">
        <v>44</v>
      </c>
      <c r="I268" t="s">
        <v>26</v>
      </c>
      <c r="J268" t="s">
        <v>27</v>
      </c>
      <c r="K268" s="1">
        <v>46094</v>
      </c>
      <c r="L268" t="s">
        <v>28</v>
      </c>
      <c r="M268" t="s">
        <v>37</v>
      </c>
      <c r="O268" t="s">
        <v>38</v>
      </c>
      <c r="Q268">
        <v>7</v>
      </c>
      <c r="T268" t="str">
        <f>IF(RecruitmentTable[[#This Row],[Final Status]]="In process","Screening",IF(RecruitmentTable[[#This Row],[Final Status]]="Selected","Offer","Rejected"))</f>
        <v>Rejected</v>
      </c>
      <c r="U268">
        <f>IF(RecruitmentTable[[#This Row],[Final Status]]="Selected",1,0)</f>
        <v>0</v>
      </c>
    </row>
    <row r="269" spans="1:21" x14ac:dyDescent="0.25">
      <c r="A269" t="s">
        <v>497</v>
      </c>
      <c r="B269" t="s">
        <v>389</v>
      </c>
      <c r="C269" s="1">
        <v>46060</v>
      </c>
      <c r="D269" t="s">
        <v>65</v>
      </c>
      <c r="E269" t="s">
        <v>42</v>
      </c>
      <c r="F269" t="s">
        <v>57</v>
      </c>
      <c r="G269" t="s">
        <v>71</v>
      </c>
      <c r="H269" t="s">
        <v>44</v>
      </c>
      <c r="I269" t="s">
        <v>26</v>
      </c>
      <c r="J269" t="s">
        <v>27</v>
      </c>
      <c r="K269" s="1">
        <v>46069</v>
      </c>
      <c r="L269" t="s">
        <v>28</v>
      </c>
      <c r="M269" t="s">
        <v>37</v>
      </c>
      <c r="O269" t="s">
        <v>38</v>
      </c>
      <c r="Q269">
        <v>9</v>
      </c>
      <c r="T269" t="str">
        <f>IF(RecruitmentTable[[#This Row],[Final Status]]="In process","Screening",IF(RecruitmentTable[[#This Row],[Final Status]]="Selected","Offer","Rejected"))</f>
        <v>Rejected</v>
      </c>
      <c r="U269">
        <f>IF(RecruitmentTable[[#This Row],[Final Status]]="Selected",1,0)</f>
        <v>0</v>
      </c>
    </row>
    <row r="270" spans="1:21" x14ac:dyDescent="0.25">
      <c r="A270" t="s">
        <v>498</v>
      </c>
      <c r="B270" t="s">
        <v>261</v>
      </c>
      <c r="C270" s="1">
        <v>46184</v>
      </c>
      <c r="D270" t="s">
        <v>83</v>
      </c>
      <c r="E270" t="s">
        <v>34</v>
      </c>
      <c r="F270" t="s">
        <v>57</v>
      </c>
      <c r="G270" t="s">
        <v>66</v>
      </c>
      <c r="H270" t="s">
        <v>72</v>
      </c>
      <c r="I270" t="s">
        <v>26</v>
      </c>
      <c r="J270" t="s">
        <v>27</v>
      </c>
      <c r="K270" s="1">
        <v>46198</v>
      </c>
      <c r="L270" t="s">
        <v>28</v>
      </c>
      <c r="M270" t="s">
        <v>37</v>
      </c>
      <c r="O270" t="s">
        <v>38</v>
      </c>
      <c r="Q270">
        <v>14</v>
      </c>
      <c r="T270" t="str">
        <f>IF(RecruitmentTable[[#This Row],[Final Status]]="In process","Screening",IF(RecruitmentTable[[#This Row],[Final Status]]="Selected","Offer","Rejected"))</f>
        <v>Rejected</v>
      </c>
      <c r="U270">
        <f>IF(RecruitmentTable[[#This Row],[Final Status]]="Selected",1,0)</f>
        <v>0</v>
      </c>
    </row>
    <row r="271" spans="1:21" x14ac:dyDescent="0.25">
      <c r="A271" t="s">
        <v>499</v>
      </c>
      <c r="B271" t="s">
        <v>500</v>
      </c>
      <c r="C271" s="1">
        <v>46115</v>
      </c>
      <c r="D271" t="s">
        <v>83</v>
      </c>
      <c r="E271" t="s">
        <v>34</v>
      </c>
      <c r="F271" t="s">
        <v>35</v>
      </c>
      <c r="G271" t="s">
        <v>36</v>
      </c>
      <c r="H271" t="s">
        <v>25</v>
      </c>
      <c r="I271" t="s">
        <v>26</v>
      </c>
      <c r="J271" t="s">
        <v>27</v>
      </c>
      <c r="K271" s="1">
        <v>46119</v>
      </c>
      <c r="L271" t="s">
        <v>28</v>
      </c>
      <c r="M271" t="s">
        <v>37</v>
      </c>
      <c r="O271" t="s">
        <v>38</v>
      </c>
      <c r="Q271">
        <v>4</v>
      </c>
      <c r="T271" t="str">
        <f>IF(RecruitmentTable[[#This Row],[Final Status]]="In process","Screening",IF(RecruitmentTable[[#This Row],[Final Status]]="Selected","Offer","Rejected"))</f>
        <v>Rejected</v>
      </c>
      <c r="U271">
        <f>IF(RecruitmentTable[[#This Row],[Final Status]]="Selected",1,0)</f>
        <v>0</v>
      </c>
    </row>
    <row r="272" spans="1:21" x14ac:dyDescent="0.25">
      <c r="A272" t="s">
        <v>501</v>
      </c>
      <c r="B272" t="s">
        <v>502</v>
      </c>
      <c r="C272" s="1">
        <v>46212</v>
      </c>
      <c r="D272" t="s">
        <v>21</v>
      </c>
      <c r="E272" t="s">
        <v>22</v>
      </c>
      <c r="F272" t="s">
        <v>57</v>
      </c>
      <c r="G272" t="s">
        <v>47</v>
      </c>
      <c r="H272" t="s">
        <v>25</v>
      </c>
      <c r="I272" t="s">
        <v>26</v>
      </c>
      <c r="J272" t="s">
        <v>27</v>
      </c>
      <c r="K272" s="1">
        <v>46221</v>
      </c>
      <c r="L272" t="s">
        <v>28</v>
      </c>
      <c r="M272" t="s">
        <v>37</v>
      </c>
      <c r="O272" t="s">
        <v>38</v>
      </c>
      <c r="Q272">
        <v>9</v>
      </c>
      <c r="T272" t="str">
        <f>IF(RecruitmentTable[[#This Row],[Final Status]]="In process","Screening",IF(RecruitmentTable[[#This Row],[Final Status]]="Selected","Offer","Rejected"))</f>
        <v>Rejected</v>
      </c>
      <c r="U272">
        <f>IF(RecruitmentTable[[#This Row],[Final Status]]="Selected",1,0)</f>
        <v>0</v>
      </c>
    </row>
    <row r="273" spans="1:21" x14ac:dyDescent="0.25">
      <c r="A273" t="s">
        <v>503</v>
      </c>
      <c r="B273" t="s">
        <v>133</v>
      </c>
      <c r="C273" s="1">
        <v>46059</v>
      </c>
      <c r="D273" t="s">
        <v>56</v>
      </c>
      <c r="E273" t="s">
        <v>34</v>
      </c>
      <c r="F273" t="s">
        <v>35</v>
      </c>
      <c r="G273" t="s">
        <v>47</v>
      </c>
      <c r="H273" t="s">
        <v>62</v>
      </c>
      <c r="I273" t="s">
        <v>26</v>
      </c>
      <c r="J273" t="s">
        <v>38</v>
      </c>
      <c r="K273" s="1"/>
      <c r="L273" t="s">
        <v>58</v>
      </c>
      <c r="M273" t="s">
        <v>59</v>
      </c>
      <c r="O273" t="s">
        <v>38</v>
      </c>
      <c r="T273" t="str">
        <f>IF(RecruitmentTable[[#This Row],[Final Status]]="In process","Screening",IF(RecruitmentTable[[#This Row],[Final Status]]="Selected","Offer","Rejected"))</f>
        <v>Screening</v>
      </c>
      <c r="U273">
        <f>IF(RecruitmentTable[[#This Row],[Final Status]]="Selected",1,0)</f>
        <v>0</v>
      </c>
    </row>
    <row r="274" spans="1:21" x14ac:dyDescent="0.25">
      <c r="A274" t="s">
        <v>504</v>
      </c>
      <c r="B274" t="s">
        <v>505</v>
      </c>
      <c r="C274" s="1">
        <v>46169</v>
      </c>
      <c r="D274" t="s">
        <v>83</v>
      </c>
      <c r="E274" t="s">
        <v>34</v>
      </c>
      <c r="F274" t="s">
        <v>57</v>
      </c>
      <c r="G274" t="s">
        <v>66</v>
      </c>
      <c r="H274" t="s">
        <v>44</v>
      </c>
      <c r="I274" t="s">
        <v>37</v>
      </c>
      <c r="J274" t="s">
        <v>38</v>
      </c>
      <c r="K274" s="1"/>
      <c r="L274" t="s">
        <v>38</v>
      </c>
      <c r="M274" t="s">
        <v>37</v>
      </c>
      <c r="O274" t="s">
        <v>38</v>
      </c>
      <c r="T274" t="str">
        <f>IF(RecruitmentTable[[#This Row],[Final Status]]="In process","Screening",IF(RecruitmentTable[[#This Row],[Final Status]]="Selected","Offer","Rejected"))</f>
        <v>Rejected</v>
      </c>
      <c r="U274">
        <f>IF(RecruitmentTable[[#This Row],[Final Status]]="Selected",1,0)</f>
        <v>0</v>
      </c>
    </row>
    <row r="275" spans="1:21" x14ac:dyDescent="0.25">
      <c r="A275" t="s">
        <v>506</v>
      </c>
      <c r="B275" t="s">
        <v>422</v>
      </c>
      <c r="C275" s="1">
        <v>46131</v>
      </c>
      <c r="D275" t="s">
        <v>65</v>
      </c>
      <c r="E275" t="s">
        <v>42</v>
      </c>
      <c r="F275" t="s">
        <v>23</v>
      </c>
      <c r="G275" t="s">
        <v>84</v>
      </c>
      <c r="H275" t="s">
        <v>44</v>
      </c>
      <c r="I275" t="s">
        <v>37</v>
      </c>
      <c r="J275" t="s">
        <v>38</v>
      </c>
      <c r="K275" s="1"/>
      <c r="L275" t="s">
        <v>38</v>
      </c>
      <c r="M275" t="s">
        <v>37</v>
      </c>
      <c r="O275" t="s">
        <v>38</v>
      </c>
      <c r="T275" t="str">
        <f>IF(RecruitmentTable[[#This Row],[Final Status]]="In process","Screening",IF(RecruitmentTable[[#This Row],[Final Status]]="Selected","Offer","Rejected"))</f>
        <v>Rejected</v>
      </c>
      <c r="U275">
        <f>IF(RecruitmentTable[[#This Row],[Final Status]]="Selected",1,0)</f>
        <v>0</v>
      </c>
    </row>
    <row r="276" spans="1:21" x14ac:dyDescent="0.25">
      <c r="A276" t="s">
        <v>507</v>
      </c>
      <c r="B276" t="s">
        <v>508</v>
      </c>
      <c r="C276" s="1">
        <v>46196</v>
      </c>
      <c r="D276" t="s">
        <v>41</v>
      </c>
      <c r="E276" t="s">
        <v>42</v>
      </c>
      <c r="F276" t="s">
        <v>57</v>
      </c>
      <c r="G276" t="s">
        <v>24</v>
      </c>
      <c r="H276" t="s">
        <v>44</v>
      </c>
      <c r="I276" t="s">
        <v>37</v>
      </c>
      <c r="J276" t="s">
        <v>38</v>
      </c>
      <c r="K276" s="1"/>
      <c r="L276" t="s">
        <v>38</v>
      </c>
      <c r="M276" t="s">
        <v>37</v>
      </c>
      <c r="O276" t="s">
        <v>38</v>
      </c>
      <c r="T276" t="str">
        <f>IF(RecruitmentTable[[#This Row],[Final Status]]="In process","Screening",IF(RecruitmentTable[[#This Row],[Final Status]]="Selected","Offer","Rejected"))</f>
        <v>Rejected</v>
      </c>
      <c r="U276">
        <f>IF(RecruitmentTable[[#This Row],[Final Status]]="Selected",1,0)</f>
        <v>0</v>
      </c>
    </row>
    <row r="277" spans="1:21" x14ac:dyDescent="0.25">
      <c r="A277" t="s">
        <v>509</v>
      </c>
      <c r="B277" t="s">
        <v>223</v>
      </c>
      <c r="C277" s="1">
        <v>46183</v>
      </c>
      <c r="D277" t="s">
        <v>83</v>
      </c>
      <c r="E277" t="s">
        <v>34</v>
      </c>
      <c r="F277" t="s">
        <v>57</v>
      </c>
      <c r="G277" t="s">
        <v>84</v>
      </c>
      <c r="H277" t="s">
        <v>44</v>
      </c>
      <c r="I277" t="s">
        <v>26</v>
      </c>
      <c r="J277" t="s">
        <v>38</v>
      </c>
      <c r="K277" s="1"/>
      <c r="L277" t="s">
        <v>58</v>
      </c>
      <c r="M277" t="s">
        <v>59</v>
      </c>
      <c r="O277" t="s">
        <v>38</v>
      </c>
      <c r="T277" t="str">
        <f>IF(RecruitmentTable[[#This Row],[Final Status]]="In process","Screening",IF(RecruitmentTable[[#This Row],[Final Status]]="Selected","Offer","Rejected"))</f>
        <v>Screening</v>
      </c>
      <c r="U277">
        <f>IF(RecruitmentTable[[#This Row],[Final Status]]="Selected",1,0)</f>
        <v>0</v>
      </c>
    </row>
    <row r="278" spans="1:21" x14ac:dyDescent="0.25">
      <c r="A278" t="s">
        <v>510</v>
      </c>
      <c r="B278" t="s">
        <v>511</v>
      </c>
      <c r="C278" s="1">
        <v>46265</v>
      </c>
      <c r="D278" t="s">
        <v>56</v>
      </c>
      <c r="E278" t="s">
        <v>34</v>
      </c>
      <c r="F278" t="s">
        <v>50</v>
      </c>
      <c r="G278" t="s">
        <v>66</v>
      </c>
      <c r="H278" t="s">
        <v>72</v>
      </c>
      <c r="I278" t="s">
        <v>37</v>
      </c>
      <c r="J278" t="s">
        <v>38</v>
      </c>
      <c r="K278" s="1"/>
      <c r="L278" t="s">
        <v>38</v>
      </c>
      <c r="M278" t="s">
        <v>37</v>
      </c>
      <c r="O278" t="s">
        <v>38</v>
      </c>
      <c r="T278" t="str">
        <f>IF(RecruitmentTable[[#This Row],[Final Status]]="In process","Screening",IF(RecruitmentTable[[#This Row],[Final Status]]="Selected","Offer","Rejected"))</f>
        <v>Rejected</v>
      </c>
      <c r="U278">
        <f>IF(RecruitmentTable[[#This Row],[Final Status]]="Selected",1,0)</f>
        <v>0</v>
      </c>
    </row>
    <row r="279" spans="1:21" x14ac:dyDescent="0.25">
      <c r="A279" t="s">
        <v>512</v>
      </c>
      <c r="B279" t="s">
        <v>305</v>
      </c>
      <c r="C279" s="1">
        <v>46288</v>
      </c>
      <c r="D279" t="s">
        <v>83</v>
      </c>
      <c r="E279" t="s">
        <v>34</v>
      </c>
      <c r="F279" t="s">
        <v>57</v>
      </c>
      <c r="G279" t="s">
        <v>24</v>
      </c>
      <c r="H279" t="s">
        <v>44</v>
      </c>
      <c r="I279" t="s">
        <v>26</v>
      </c>
      <c r="J279" t="s">
        <v>27</v>
      </c>
      <c r="K279" s="1">
        <v>46304</v>
      </c>
      <c r="L279" t="s">
        <v>28</v>
      </c>
      <c r="M279" t="s">
        <v>37</v>
      </c>
      <c r="O279" t="s">
        <v>38</v>
      </c>
      <c r="Q279">
        <v>16</v>
      </c>
      <c r="T279" t="str">
        <f>IF(RecruitmentTable[[#This Row],[Final Status]]="In process","Screening",IF(RecruitmentTable[[#This Row],[Final Status]]="Selected","Offer","Rejected"))</f>
        <v>Rejected</v>
      </c>
      <c r="U279">
        <f>IF(RecruitmentTable[[#This Row],[Final Status]]="Selected",1,0)</f>
        <v>0</v>
      </c>
    </row>
    <row r="280" spans="1:21" x14ac:dyDescent="0.25">
      <c r="A280" t="s">
        <v>513</v>
      </c>
      <c r="B280" t="s">
        <v>268</v>
      </c>
      <c r="C280" s="1">
        <v>46280</v>
      </c>
      <c r="D280" t="s">
        <v>41</v>
      </c>
      <c r="E280" t="s">
        <v>42</v>
      </c>
      <c r="F280" t="s">
        <v>57</v>
      </c>
      <c r="G280" t="s">
        <v>84</v>
      </c>
      <c r="H280" t="s">
        <v>72</v>
      </c>
      <c r="I280" t="s">
        <v>26</v>
      </c>
      <c r="J280" t="s">
        <v>27</v>
      </c>
      <c r="K280" s="1">
        <v>46297</v>
      </c>
      <c r="L280" t="s">
        <v>28</v>
      </c>
      <c r="M280" t="s">
        <v>37</v>
      </c>
      <c r="O280" t="s">
        <v>38</v>
      </c>
      <c r="Q280">
        <v>17</v>
      </c>
      <c r="T280" t="str">
        <f>IF(RecruitmentTable[[#This Row],[Final Status]]="In process","Screening",IF(RecruitmentTable[[#This Row],[Final Status]]="Selected","Offer","Rejected"))</f>
        <v>Rejected</v>
      </c>
      <c r="U280">
        <f>IF(RecruitmentTable[[#This Row],[Final Status]]="Selected",1,0)</f>
        <v>0</v>
      </c>
    </row>
    <row r="281" spans="1:21" x14ac:dyDescent="0.25">
      <c r="A281" t="s">
        <v>514</v>
      </c>
      <c r="B281" t="s">
        <v>282</v>
      </c>
      <c r="C281" s="1">
        <v>46245</v>
      </c>
      <c r="D281" t="s">
        <v>83</v>
      </c>
      <c r="E281" t="s">
        <v>34</v>
      </c>
      <c r="F281" t="s">
        <v>57</v>
      </c>
      <c r="G281" t="s">
        <v>47</v>
      </c>
      <c r="H281" t="s">
        <v>25</v>
      </c>
      <c r="I281" t="s">
        <v>37</v>
      </c>
      <c r="J281" t="s">
        <v>38</v>
      </c>
      <c r="K281" s="1"/>
      <c r="L281" t="s">
        <v>38</v>
      </c>
      <c r="M281" t="s">
        <v>37</v>
      </c>
      <c r="O281" t="s">
        <v>38</v>
      </c>
      <c r="T281" t="str">
        <f>IF(RecruitmentTable[[#This Row],[Final Status]]="In process","Screening",IF(RecruitmentTable[[#This Row],[Final Status]]="Selected","Offer","Rejected"))</f>
        <v>Rejected</v>
      </c>
      <c r="U281">
        <f>IF(RecruitmentTable[[#This Row],[Final Status]]="Selected",1,0)</f>
        <v>0</v>
      </c>
    </row>
    <row r="282" spans="1:21" x14ac:dyDescent="0.25">
      <c r="A282" t="s">
        <v>515</v>
      </c>
      <c r="B282" t="s">
        <v>229</v>
      </c>
      <c r="C282" s="1">
        <v>46121</v>
      </c>
      <c r="D282" t="s">
        <v>41</v>
      </c>
      <c r="E282" t="s">
        <v>42</v>
      </c>
      <c r="F282" t="s">
        <v>100</v>
      </c>
      <c r="G282" t="s">
        <v>36</v>
      </c>
      <c r="H282" t="s">
        <v>44</v>
      </c>
      <c r="I282" t="s">
        <v>26</v>
      </c>
      <c r="J282" t="s">
        <v>27</v>
      </c>
      <c r="K282" s="1">
        <v>46136</v>
      </c>
      <c r="L282" t="s">
        <v>28</v>
      </c>
      <c r="M282" t="s">
        <v>37</v>
      </c>
      <c r="O282" t="s">
        <v>38</v>
      </c>
      <c r="Q282">
        <v>15</v>
      </c>
      <c r="T282" t="str">
        <f>IF(RecruitmentTable[[#This Row],[Final Status]]="In process","Screening",IF(RecruitmentTable[[#This Row],[Final Status]]="Selected","Offer","Rejected"))</f>
        <v>Rejected</v>
      </c>
      <c r="U282">
        <f>IF(RecruitmentTable[[#This Row],[Final Status]]="Selected",1,0)</f>
        <v>0</v>
      </c>
    </row>
    <row r="283" spans="1:21" x14ac:dyDescent="0.25">
      <c r="A283" t="s">
        <v>516</v>
      </c>
      <c r="B283" t="s">
        <v>424</v>
      </c>
      <c r="C283" s="1">
        <v>46085</v>
      </c>
      <c r="D283" t="s">
        <v>41</v>
      </c>
      <c r="E283" t="s">
        <v>42</v>
      </c>
      <c r="F283" t="s">
        <v>57</v>
      </c>
      <c r="G283" t="s">
        <v>47</v>
      </c>
      <c r="H283" t="s">
        <v>62</v>
      </c>
      <c r="I283" t="s">
        <v>37</v>
      </c>
      <c r="J283" t="s">
        <v>38</v>
      </c>
      <c r="K283" s="1"/>
      <c r="L283" t="s">
        <v>38</v>
      </c>
      <c r="M283" t="s">
        <v>37</v>
      </c>
      <c r="O283" t="s">
        <v>38</v>
      </c>
      <c r="T283" t="str">
        <f>IF(RecruitmentTable[[#This Row],[Final Status]]="In process","Screening",IF(RecruitmentTable[[#This Row],[Final Status]]="Selected","Offer","Rejected"))</f>
        <v>Rejected</v>
      </c>
      <c r="U283">
        <f>IF(RecruitmentTable[[#This Row],[Final Status]]="Selected",1,0)</f>
        <v>0</v>
      </c>
    </row>
    <row r="284" spans="1:21" x14ac:dyDescent="0.25">
      <c r="A284" t="s">
        <v>517</v>
      </c>
      <c r="B284" t="s">
        <v>518</v>
      </c>
      <c r="C284" s="1">
        <v>46189</v>
      </c>
      <c r="D284" t="s">
        <v>83</v>
      </c>
      <c r="E284" t="s">
        <v>34</v>
      </c>
      <c r="F284" t="s">
        <v>50</v>
      </c>
      <c r="G284" t="s">
        <v>24</v>
      </c>
      <c r="H284" t="s">
        <v>25</v>
      </c>
      <c r="I284" t="s">
        <v>37</v>
      </c>
      <c r="J284" t="s">
        <v>38</v>
      </c>
      <c r="K284" s="1"/>
      <c r="L284" t="s">
        <v>38</v>
      </c>
      <c r="M284" t="s">
        <v>37</v>
      </c>
      <c r="O284" t="s">
        <v>38</v>
      </c>
      <c r="T284" t="str">
        <f>IF(RecruitmentTable[[#This Row],[Final Status]]="In process","Screening",IF(RecruitmentTable[[#This Row],[Final Status]]="Selected","Offer","Rejected"))</f>
        <v>Rejected</v>
      </c>
      <c r="U284">
        <f>IF(RecruitmentTable[[#This Row],[Final Status]]="Selected",1,0)</f>
        <v>0</v>
      </c>
    </row>
    <row r="285" spans="1:21" x14ac:dyDescent="0.25">
      <c r="A285" t="s">
        <v>519</v>
      </c>
      <c r="B285" t="s">
        <v>520</v>
      </c>
      <c r="C285" s="1">
        <v>46170</v>
      </c>
      <c r="D285" t="s">
        <v>56</v>
      </c>
      <c r="E285" t="s">
        <v>34</v>
      </c>
      <c r="F285" t="s">
        <v>43</v>
      </c>
      <c r="G285" t="s">
        <v>36</v>
      </c>
      <c r="H285" t="s">
        <v>62</v>
      </c>
      <c r="I285" t="s">
        <v>26</v>
      </c>
      <c r="J285" t="s">
        <v>27</v>
      </c>
      <c r="K285" s="1">
        <v>46174</v>
      </c>
      <c r="L285" t="s">
        <v>28</v>
      </c>
      <c r="M285" t="s">
        <v>37</v>
      </c>
      <c r="O285" t="s">
        <v>38</v>
      </c>
      <c r="Q285">
        <v>4</v>
      </c>
      <c r="T285" t="str">
        <f>IF(RecruitmentTable[[#This Row],[Final Status]]="In process","Screening",IF(RecruitmentTable[[#This Row],[Final Status]]="Selected","Offer","Rejected"))</f>
        <v>Rejected</v>
      </c>
      <c r="U285">
        <f>IF(RecruitmentTable[[#This Row],[Final Status]]="Selected",1,0)</f>
        <v>0</v>
      </c>
    </row>
    <row r="286" spans="1:21" x14ac:dyDescent="0.25">
      <c r="A286" t="s">
        <v>521</v>
      </c>
      <c r="B286" t="s">
        <v>238</v>
      </c>
      <c r="C286" s="1">
        <v>46086</v>
      </c>
      <c r="D286" t="s">
        <v>65</v>
      </c>
      <c r="E286" t="s">
        <v>42</v>
      </c>
      <c r="F286" t="s">
        <v>57</v>
      </c>
      <c r="G286" t="s">
        <v>84</v>
      </c>
      <c r="H286" t="s">
        <v>44</v>
      </c>
      <c r="I286" t="s">
        <v>37</v>
      </c>
      <c r="J286" t="s">
        <v>38</v>
      </c>
      <c r="K286" s="1"/>
      <c r="L286" t="s">
        <v>38</v>
      </c>
      <c r="M286" t="s">
        <v>37</v>
      </c>
      <c r="O286" t="s">
        <v>38</v>
      </c>
      <c r="T286" t="str">
        <f>IF(RecruitmentTable[[#This Row],[Final Status]]="In process","Screening",IF(RecruitmentTable[[#This Row],[Final Status]]="Selected","Offer","Rejected"))</f>
        <v>Rejected</v>
      </c>
      <c r="U286">
        <f>IF(RecruitmentTable[[#This Row],[Final Status]]="Selected",1,0)</f>
        <v>0</v>
      </c>
    </row>
    <row r="287" spans="1:21" x14ac:dyDescent="0.25">
      <c r="A287" t="s">
        <v>522</v>
      </c>
      <c r="B287" t="s">
        <v>61</v>
      </c>
      <c r="C287" s="1">
        <v>46089</v>
      </c>
      <c r="D287" t="s">
        <v>33</v>
      </c>
      <c r="E287" t="s">
        <v>34</v>
      </c>
      <c r="F287" t="s">
        <v>57</v>
      </c>
      <c r="G287" t="s">
        <v>84</v>
      </c>
      <c r="H287" t="s">
        <v>62</v>
      </c>
      <c r="I287" t="s">
        <v>26</v>
      </c>
      <c r="J287" t="s">
        <v>27</v>
      </c>
      <c r="K287" s="1">
        <v>46106</v>
      </c>
      <c r="L287" t="s">
        <v>28</v>
      </c>
      <c r="M287" t="s">
        <v>29</v>
      </c>
      <c r="N287" s="1">
        <v>46109</v>
      </c>
      <c r="O287" t="s">
        <v>30</v>
      </c>
      <c r="P287" s="1">
        <v>46123</v>
      </c>
      <c r="Q287">
        <v>17</v>
      </c>
      <c r="R287">
        <v>3</v>
      </c>
      <c r="S287">
        <v>14</v>
      </c>
      <c r="T287" t="str">
        <f>IF(RecruitmentTable[[#This Row],[Final Status]]="In process","Screening",IF(RecruitmentTable[[#This Row],[Final Status]]="Selected","Offer","Rejected"))</f>
        <v>Offer</v>
      </c>
      <c r="U287">
        <f>IF(RecruitmentTable[[#This Row],[Final Status]]="Selected",1,0)</f>
        <v>1</v>
      </c>
    </row>
    <row r="288" spans="1:21" x14ac:dyDescent="0.25">
      <c r="A288" t="s">
        <v>523</v>
      </c>
      <c r="B288" t="s">
        <v>488</v>
      </c>
      <c r="C288" s="1">
        <v>46146</v>
      </c>
      <c r="D288" t="s">
        <v>56</v>
      </c>
      <c r="E288" t="s">
        <v>34</v>
      </c>
      <c r="F288" t="s">
        <v>35</v>
      </c>
      <c r="G288" t="s">
        <v>47</v>
      </c>
      <c r="H288" t="s">
        <v>44</v>
      </c>
      <c r="I288" t="s">
        <v>26</v>
      </c>
      <c r="J288" t="s">
        <v>27</v>
      </c>
      <c r="K288" s="1">
        <v>46163</v>
      </c>
      <c r="L288" t="s">
        <v>28</v>
      </c>
      <c r="M288" t="s">
        <v>37</v>
      </c>
      <c r="O288" t="s">
        <v>38</v>
      </c>
      <c r="Q288">
        <v>17</v>
      </c>
      <c r="T288" t="str">
        <f>IF(RecruitmentTable[[#This Row],[Final Status]]="In process","Screening",IF(RecruitmentTable[[#This Row],[Final Status]]="Selected","Offer","Rejected"))</f>
        <v>Rejected</v>
      </c>
      <c r="U288">
        <f>IF(RecruitmentTable[[#This Row],[Final Status]]="Selected",1,0)</f>
        <v>0</v>
      </c>
    </row>
    <row r="289" spans="1:21" x14ac:dyDescent="0.25">
      <c r="A289" t="s">
        <v>524</v>
      </c>
      <c r="B289" t="s">
        <v>177</v>
      </c>
      <c r="C289" s="1">
        <v>46131</v>
      </c>
      <c r="D289" t="s">
        <v>33</v>
      </c>
      <c r="E289" t="s">
        <v>34</v>
      </c>
      <c r="F289" t="s">
        <v>100</v>
      </c>
      <c r="G289" t="s">
        <v>71</v>
      </c>
      <c r="H289" t="s">
        <v>72</v>
      </c>
      <c r="I289" t="s">
        <v>37</v>
      </c>
      <c r="J289" t="s">
        <v>38</v>
      </c>
      <c r="K289" s="1"/>
      <c r="L289" t="s">
        <v>38</v>
      </c>
      <c r="M289" t="s">
        <v>37</v>
      </c>
      <c r="O289" t="s">
        <v>38</v>
      </c>
      <c r="T289" t="str">
        <f>IF(RecruitmentTable[[#This Row],[Final Status]]="In process","Screening",IF(RecruitmentTable[[#This Row],[Final Status]]="Selected","Offer","Rejected"))</f>
        <v>Rejected</v>
      </c>
      <c r="U289">
        <f>IF(RecruitmentTable[[#This Row],[Final Status]]="Selected",1,0)</f>
        <v>0</v>
      </c>
    </row>
    <row r="290" spans="1:21" x14ac:dyDescent="0.25">
      <c r="A290" t="s">
        <v>525</v>
      </c>
      <c r="B290" t="s">
        <v>445</v>
      </c>
      <c r="C290" s="1">
        <v>46064</v>
      </c>
      <c r="D290" t="s">
        <v>21</v>
      </c>
      <c r="E290" t="s">
        <v>22</v>
      </c>
      <c r="F290" t="s">
        <v>57</v>
      </c>
      <c r="G290" t="s">
        <v>71</v>
      </c>
      <c r="H290" t="s">
        <v>25</v>
      </c>
      <c r="I290" t="s">
        <v>26</v>
      </c>
      <c r="J290" t="s">
        <v>27</v>
      </c>
      <c r="K290" s="1">
        <v>46074</v>
      </c>
      <c r="L290" t="s">
        <v>28</v>
      </c>
      <c r="M290" t="s">
        <v>37</v>
      </c>
      <c r="O290" t="s">
        <v>38</v>
      </c>
      <c r="Q290">
        <v>10</v>
      </c>
      <c r="T290" t="str">
        <f>IF(RecruitmentTable[[#This Row],[Final Status]]="In process","Screening",IF(RecruitmentTable[[#This Row],[Final Status]]="Selected","Offer","Rejected"))</f>
        <v>Rejected</v>
      </c>
      <c r="U290">
        <f>IF(RecruitmentTable[[#This Row],[Final Status]]="Selected",1,0)</f>
        <v>0</v>
      </c>
    </row>
    <row r="291" spans="1:21" x14ac:dyDescent="0.25">
      <c r="A291" t="s">
        <v>526</v>
      </c>
      <c r="B291" t="s">
        <v>350</v>
      </c>
      <c r="C291" s="1">
        <v>46114</v>
      </c>
      <c r="D291" t="s">
        <v>65</v>
      </c>
      <c r="E291" t="s">
        <v>42</v>
      </c>
      <c r="F291" t="s">
        <v>57</v>
      </c>
      <c r="G291" t="s">
        <v>66</v>
      </c>
      <c r="H291" t="s">
        <v>51</v>
      </c>
      <c r="I291" t="s">
        <v>26</v>
      </c>
      <c r="J291" t="s">
        <v>27</v>
      </c>
      <c r="K291" s="1">
        <v>46129</v>
      </c>
      <c r="L291" t="s">
        <v>28</v>
      </c>
      <c r="M291" t="s">
        <v>37</v>
      </c>
      <c r="O291" t="s">
        <v>38</v>
      </c>
      <c r="Q291">
        <v>15</v>
      </c>
      <c r="T291" t="str">
        <f>IF(RecruitmentTable[[#This Row],[Final Status]]="In process","Screening",IF(RecruitmentTable[[#This Row],[Final Status]]="Selected","Offer","Rejected"))</f>
        <v>Rejected</v>
      </c>
      <c r="U291">
        <f>IF(RecruitmentTable[[#This Row],[Final Status]]="Selected",1,0)</f>
        <v>0</v>
      </c>
    </row>
    <row r="292" spans="1:21" x14ac:dyDescent="0.25">
      <c r="A292" t="s">
        <v>527</v>
      </c>
      <c r="B292" t="s">
        <v>123</v>
      </c>
      <c r="C292" s="1">
        <v>46236</v>
      </c>
      <c r="D292" t="s">
        <v>65</v>
      </c>
      <c r="E292" t="s">
        <v>42</v>
      </c>
      <c r="F292" t="s">
        <v>57</v>
      </c>
      <c r="G292" t="s">
        <v>36</v>
      </c>
      <c r="H292" t="s">
        <v>25</v>
      </c>
      <c r="I292" t="s">
        <v>26</v>
      </c>
      <c r="J292" t="s">
        <v>38</v>
      </c>
      <c r="K292" s="1"/>
      <c r="L292" t="s">
        <v>58</v>
      </c>
      <c r="M292" t="s">
        <v>59</v>
      </c>
      <c r="O292" t="s">
        <v>38</v>
      </c>
      <c r="T292" t="str">
        <f>IF(RecruitmentTable[[#This Row],[Final Status]]="In process","Screening",IF(RecruitmentTable[[#This Row],[Final Status]]="Selected","Offer","Rejected"))</f>
        <v>Screening</v>
      </c>
      <c r="U292">
        <f>IF(RecruitmentTable[[#This Row],[Final Status]]="Selected",1,0)</f>
        <v>0</v>
      </c>
    </row>
    <row r="293" spans="1:21" x14ac:dyDescent="0.25">
      <c r="A293" t="s">
        <v>528</v>
      </c>
      <c r="B293" t="s">
        <v>347</v>
      </c>
      <c r="C293" s="1">
        <v>46169</v>
      </c>
      <c r="D293" t="s">
        <v>41</v>
      </c>
      <c r="E293" t="s">
        <v>42</v>
      </c>
      <c r="F293" t="s">
        <v>35</v>
      </c>
      <c r="G293" t="s">
        <v>36</v>
      </c>
      <c r="H293" t="s">
        <v>25</v>
      </c>
      <c r="I293" t="s">
        <v>26</v>
      </c>
      <c r="J293" t="s">
        <v>27</v>
      </c>
      <c r="K293" s="1">
        <v>46179</v>
      </c>
      <c r="L293" t="s">
        <v>28</v>
      </c>
      <c r="M293" t="s">
        <v>37</v>
      </c>
      <c r="O293" t="s">
        <v>38</v>
      </c>
      <c r="Q293">
        <v>10</v>
      </c>
      <c r="T293" t="str">
        <f>IF(RecruitmentTable[[#This Row],[Final Status]]="In process","Screening",IF(RecruitmentTable[[#This Row],[Final Status]]="Selected","Offer","Rejected"))</f>
        <v>Rejected</v>
      </c>
      <c r="U293">
        <f>IF(RecruitmentTable[[#This Row],[Final Status]]="Selected",1,0)</f>
        <v>0</v>
      </c>
    </row>
    <row r="294" spans="1:21" x14ac:dyDescent="0.25">
      <c r="A294" t="s">
        <v>529</v>
      </c>
      <c r="B294" t="s">
        <v>530</v>
      </c>
      <c r="C294" s="1">
        <v>46206</v>
      </c>
      <c r="D294" t="s">
        <v>56</v>
      </c>
      <c r="E294" t="s">
        <v>34</v>
      </c>
      <c r="F294" t="s">
        <v>100</v>
      </c>
      <c r="G294" t="s">
        <v>47</v>
      </c>
      <c r="H294" t="s">
        <v>72</v>
      </c>
      <c r="I294" t="s">
        <v>37</v>
      </c>
      <c r="J294" t="s">
        <v>38</v>
      </c>
      <c r="K294" s="1"/>
      <c r="L294" t="s">
        <v>38</v>
      </c>
      <c r="M294" t="s">
        <v>37</v>
      </c>
      <c r="O294" t="s">
        <v>38</v>
      </c>
      <c r="T294" t="str">
        <f>IF(RecruitmentTable[[#This Row],[Final Status]]="In process","Screening",IF(RecruitmentTable[[#This Row],[Final Status]]="Selected","Offer","Rejected"))</f>
        <v>Rejected</v>
      </c>
      <c r="U294">
        <f>IF(RecruitmentTable[[#This Row],[Final Status]]="Selected",1,0)</f>
        <v>0</v>
      </c>
    </row>
    <row r="295" spans="1:21" x14ac:dyDescent="0.25">
      <c r="A295" t="s">
        <v>531</v>
      </c>
      <c r="B295" t="s">
        <v>435</v>
      </c>
      <c r="C295" s="1">
        <v>46258</v>
      </c>
      <c r="D295" t="s">
        <v>21</v>
      </c>
      <c r="E295" t="s">
        <v>22</v>
      </c>
      <c r="F295" t="s">
        <v>43</v>
      </c>
      <c r="G295" t="s">
        <v>36</v>
      </c>
      <c r="H295" t="s">
        <v>44</v>
      </c>
      <c r="I295" t="s">
        <v>26</v>
      </c>
      <c r="J295" t="s">
        <v>27</v>
      </c>
      <c r="K295" s="1">
        <v>46272</v>
      </c>
      <c r="L295" t="s">
        <v>28</v>
      </c>
      <c r="M295" t="s">
        <v>37</v>
      </c>
      <c r="O295" t="s">
        <v>38</v>
      </c>
      <c r="Q295">
        <v>14</v>
      </c>
      <c r="T295" t="str">
        <f>IF(RecruitmentTable[[#This Row],[Final Status]]="In process","Screening",IF(RecruitmentTable[[#This Row],[Final Status]]="Selected","Offer","Rejected"))</f>
        <v>Rejected</v>
      </c>
      <c r="U295">
        <f>IF(RecruitmentTable[[#This Row],[Final Status]]="Selected",1,0)</f>
        <v>0</v>
      </c>
    </row>
    <row r="296" spans="1:21" x14ac:dyDescent="0.25">
      <c r="A296" t="s">
        <v>532</v>
      </c>
      <c r="B296" t="s">
        <v>431</v>
      </c>
      <c r="C296" s="1">
        <v>46264</v>
      </c>
      <c r="D296" t="s">
        <v>21</v>
      </c>
      <c r="E296" t="s">
        <v>22</v>
      </c>
      <c r="F296" t="s">
        <v>35</v>
      </c>
      <c r="G296" t="s">
        <v>47</v>
      </c>
      <c r="H296" t="s">
        <v>44</v>
      </c>
      <c r="I296" t="s">
        <v>37</v>
      </c>
      <c r="J296" t="s">
        <v>38</v>
      </c>
      <c r="K296" s="1"/>
      <c r="L296" t="s">
        <v>38</v>
      </c>
      <c r="M296" t="s">
        <v>37</v>
      </c>
      <c r="O296" t="s">
        <v>38</v>
      </c>
      <c r="T296" t="str">
        <f>IF(RecruitmentTable[[#This Row],[Final Status]]="In process","Screening",IF(RecruitmentTable[[#This Row],[Final Status]]="Selected","Offer","Rejected"))</f>
        <v>Rejected</v>
      </c>
      <c r="U296">
        <f>IF(RecruitmentTable[[#This Row],[Final Status]]="Selected",1,0)</f>
        <v>0</v>
      </c>
    </row>
    <row r="297" spans="1:21" x14ac:dyDescent="0.25">
      <c r="A297" t="s">
        <v>533</v>
      </c>
      <c r="B297" t="s">
        <v>359</v>
      </c>
      <c r="C297" s="1">
        <v>46185</v>
      </c>
      <c r="D297" t="s">
        <v>41</v>
      </c>
      <c r="E297" t="s">
        <v>42</v>
      </c>
      <c r="F297" t="s">
        <v>23</v>
      </c>
      <c r="G297" t="s">
        <v>24</v>
      </c>
      <c r="H297" t="s">
        <v>72</v>
      </c>
      <c r="I297" t="s">
        <v>37</v>
      </c>
      <c r="J297" t="s">
        <v>38</v>
      </c>
      <c r="K297" s="1"/>
      <c r="L297" t="s">
        <v>38</v>
      </c>
      <c r="M297" t="s">
        <v>37</v>
      </c>
      <c r="O297" t="s">
        <v>38</v>
      </c>
      <c r="T297" t="str">
        <f>IF(RecruitmentTable[[#This Row],[Final Status]]="In process","Screening",IF(RecruitmentTable[[#This Row],[Final Status]]="Selected","Offer","Rejected"))</f>
        <v>Rejected</v>
      </c>
      <c r="U297">
        <f>IF(RecruitmentTable[[#This Row],[Final Status]]="Selected",1,0)</f>
        <v>0</v>
      </c>
    </row>
    <row r="298" spans="1:21" x14ac:dyDescent="0.25">
      <c r="A298" t="s">
        <v>534</v>
      </c>
      <c r="B298" t="s">
        <v>535</v>
      </c>
      <c r="C298" s="1">
        <v>46169</v>
      </c>
      <c r="D298" t="s">
        <v>56</v>
      </c>
      <c r="E298" t="s">
        <v>34</v>
      </c>
      <c r="F298" t="s">
        <v>57</v>
      </c>
      <c r="G298" t="s">
        <v>24</v>
      </c>
      <c r="H298" t="s">
        <v>25</v>
      </c>
      <c r="I298" t="s">
        <v>37</v>
      </c>
      <c r="J298" t="s">
        <v>38</v>
      </c>
      <c r="K298" s="1"/>
      <c r="L298" t="s">
        <v>38</v>
      </c>
      <c r="M298" t="s">
        <v>37</v>
      </c>
      <c r="O298" t="s">
        <v>38</v>
      </c>
      <c r="T298" t="str">
        <f>IF(RecruitmentTable[[#This Row],[Final Status]]="In process","Screening",IF(RecruitmentTable[[#This Row],[Final Status]]="Selected","Offer","Rejected"))</f>
        <v>Rejected</v>
      </c>
      <c r="U298">
        <f>IF(RecruitmentTable[[#This Row],[Final Status]]="Selected",1,0)</f>
        <v>0</v>
      </c>
    </row>
    <row r="299" spans="1:21" x14ac:dyDescent="0.25">
      <c r="A299" t="s">
        <v>536</v>
      </c>
      <c r="B299" t="s">
        <v>530</v>
      </c>
      <c r="C299" s="1">
        <v>46044</v>
      </c>
      <c r="D299" t="s">
        <v>65</v>
      </c>
      <c r="E299" t="s">
        <v>42</v>
      </c>
      <c r="F299" t="s">
        <v>50</v>
      </c>
      <c r="G299" t="s">
        <v>71</v>
      </c>
      <c r="H299" t="s">
        <v>51</v>
      </c>
      <c r="I299" t="s">
        <v>37</v>
      </c>
      <c r="J299" t="s">
        <v>38</v>
      </c>
      <c r="K299" s="1"/>
      <c r="L299" t="s">
        <v>38</v>
      </c>
      <c r="M299" t="s">
        <v>37</v>
      </c>
      <c r="O299" t="s">
        <v>38</v>
      </c>
      <c r="T299" t="str">
        <f>IF(RecruitmentTable[[#This Row],[Final Status]]="In process","Screening",IF(RecruitmentTable[[#This Row],[Final Status]]="Selected","Offer","Rejected"))</f>
        <v>Rejected</v>
      </c>
      <c r="U299">
        <f>IF(RecruitmentTable[[#This Row],[Final Status]]="Selected",1,0)</f>
        <v>0</v>
      </c>
    </row>
    <row r="300" spans="1:21" x14ac:dyDescent="0.25">
      <c r="A300" t="s">
        <v>537</v>
      </c>
      <c r="B300" t="s">
        <v>129</v>
      </c>
      <c r="C300" s="1">
        <v>46216</v>
      </c>
      <c r="D300" t="s">
        <v>56</v>
      </c>
      <c r="E300" t="s">
        <v>34</v>
      </c>
      <c r="F300" t="s">
        <v>35</v>
      </c>
      <c r="G300" t="s">
        <v>71</v>
      </c>
      <c r="H300" t="s">
        <v>62</v>
      </c>
      <c r="I300" t="s">
        <v>37</v>
      </c>
      <c r="J300" t="s">
        <v>38</v>
      </c>
      <c r="K300" s="1"/>
      <c r="L300" t="s">
        <v>38</v>
      </c>
      <c r="M300" t="s">
        <v>37</v>
      </c>
      <c r="O300" t="s">
        <v>38</v>
      </c>
      <c r="T300" t="str">
        <f>IF(RecruitmentTable[[#This Row],[Final Status]]="In process","Screening",IF(RecruitmentTable[[#This Row],[Final Status]]="Selected","Offer","Rejected"))</f>
        <v>Rejected</v>
      </c>
      <c r="U300">
        <f>IF(RecruitmentTable[[#This Row],[Final Status]]="Selected",1,0)</f>
        <v>0</v>
      </c>
    </row>
    <row r="301" spans="1:21" x14ac:dyDescent="0.25">
      <c r="A301" t="s">
        <v>538</v>
      </c>
      <c r="B301" t="s">
        <v>518</v>
      </c>
      <c r="C301" s="1">
        <v>46135</v>
      </c>
      <c r="D301" t="s">
        <v>41</v>
      </c>
      <c r="E301" t="s">
        <v>42</v>
      </c>
      <c r="F301" t="s">
        <v>57</v>
      </c>
      <c r="G301" t="s">
        <v>24</v>
      </c>
      <c r="H301" t="s">
        <v>44</v>
      </c>
      <c r="I301" t="s">
        <v>37</v>
      </c>
      <c r="J301" t="s">
        <v>38</v>
      </c>
      <c r="K301" s="1"/>
      <c r="L301" t="s">
        <v>38</v>
      </c>
      <c r="M301" t="s">
        <v>37</v>
      </c>
      <c r="O301" t="s">
        <v>38</v>
      </c>
      <c r="T301" t="str">
        <f>IF(RecruitmentTable[[#This Row],[Final Status]]="In process","Screening",IF(RecruitmentTable[[#This Row],[Final Status]]="Selected","Offer","Rejected"))</f>
        <v>Rejected</v>
      </c>
      <c r="U301">
        <f>IF(RecruitmentTable[[#This Row],[Final Status]]="Selected",1,0)</f>
        <v>0</v>
      </c>
    </row>
    <row r="302" spans="1:21" x14ac:dyDescent="0.25">
      <c r="A302" t="s">
        <v>539</v>
      </c>
      <c r="B302" t="s">
        <v>445</v>
      </c>
      <c r="C302" s="1">
        <v>46059</v>
      </c>
      <c r="D302" t="s">
        <v>41</v>
      </c>
      <c r="E302" t="s">
        <v>42</v>
      </c>
      <c r="F302" t="s">
        <v>23</v>
      </c>
      <c r="G302" t="s">
        <v>66</v>
      </c>
      <c r="H302" t="s">
        <v>72</v>
      </c>
      <c r="I302" t="s">
        <v>37</v>
      </c>
      <c r="J302" t="s">
        <v>38</v>
      </c>
      <c r="K302" s="1"/>
      <c r="L302" t="s">
        <v>38</v>
      </c>
      <c r="M302" t="s">
        <v>37</v>
      </c>
      <c r="O302" t="s">
        <v>38</v>
      </c>
      <c r="T302" t="str">
        <f>IF(RecruitmentTable[[#This Row],[Final Status]]="In process","Screening",IF(RecruitmentTable[[#This Row],[Final Status]]="Selected","Offer","Rejected"))</f>
        <v>Rejected</v>
      </c>
      <c r="U302">
        <f>IF(RecruitmentTable[[#This Row],[Final Status]]="Selected",1,0)</f>
        <v>0</v>
      </c>
    </row>
    <row r="303" spans="1:21" x14ac:dyDescent="0.25">
      <c r="A303" t="s">
        <v>540</v>
      </c>
      <c r="B303" t="s">
        <v>541</v>
      </c>
      <c r="C303" s="1">
        <v>46216</v>
      </c>
      <c r="D303" t="s">
        <v>41</v>
      </c>
      <c r="E303" t="s">
        <v>42</v>
      </c>
      <c r="F303" t="s">
        <v>50</v>
      </c>
      <c r="G303" t="s">
        <v>84</v>
      </c>
      <c r="H303" t="s">
        <v>44</v>
      </c>
      <c r="I303" t="s">
        <v>26</v>
      </c>
      <c r="J303" t="s">
        <v>27</v>
      </c>
      <c r="K303" s="1">
        <v>46222</v>
      </c>
      <c r="L303" t="s">
        <v>28</v>
      </c>
      <c r="M303" t="s">
        <v>37</v>
      </c>
      <c r="O303" t="s">
        <v>38</v>
      </c>
      <c r="Q303">
        <v>6</v>
      </c>
      <c r="T303" t="str">
        <f>IF(RecruitmentTable[[#This Row],[Final Status]]="In process","Screening",IF(RecruitmentTable[[#This Row],[Final Status]]="Selected","Offer","Rejected"))</f>
        <v>Rejected</v>
      </c>
      <c r="U303">
        <f>IF(RecruitmentTable[[#This Row],[Final Status]]="Selected",1,0)</f>
        <v>0</v>
      </c>
    </row>
    <row r="304" spans="1:21" x14ac:dyDescent="0.25">
      <c r="A304" t="s">
        <v>542</v>
      </c>
      <c r="B304" t="s">
        <v>543</v>
      </c>
      <c r="C304" s="1">
        <v>46195</v>
      </c>
      <c r="D304" t="s">
        <v>65</v>
      </c>
      <c r="E304" t="s">
        <v>42</v>
      </c>
      <c r="F304" t="s">
        <v>57</v>
      </c>
      <c r="G304" t="s">
        <v>24</v>
      </c>
      <c r="H304" t="s">
        <v>51</v>
      </c>
      <c r="I304" t="s">
        <v>26</v>
      </c>
      <c r="J304" t="s">
        <v>27</v>
      </c>
      <c r="K304" s="1">
        <v>46204</v>
      </c>
      <c r="L304" t="s">
        <v>28</v>
      </c>
      <c r="M304" t="s">
        <v>37</v>
      </c>
      <c r="O304" t="s">
        <v>38</v>
      </c>
      <c r="Q304">
        <v>9</v>
      </c>
      <c r="T304" t="str">
        <f>IF(RecruitmentTable[[#This Row],[Final Status]]="In process","Screening",IF(RecruitmentTable[[#This Row],[Final Status]]="Selected","Offer","Rejected"))</f>
        <v>Rejected</v>
      </c>
      <c r="U304">
        <f>IF(RecruitmentTable[[#This Row],[Final Status]]="Selected",1,0)</f>
        <v>0</v>
      </c>
    </row>
    <row r="305" spans="1:21" x14ac:dyDescent="0.25">
      <c r="A305" t="s">
        <v>544</v>
      </c>
      <c r="B305" t="s">
        <v>187</v>
      </c>
      <c r="C305" s="1">
        <v>46035</v>
      </c>
      <c r="D305" t="s">
        <v>65</v>
      </c>
      <c r="E305" t="s">
        <v>42</v>
      </c>
      <c r="F305" t="s">
        <v>100</v>
      </c>
      <c r="G305" t="s">
        <v>24</v>
      </c>
      <c r="H305" t="s">
        <v>62</v>
      </c>
      <c r="I305" t="s">
        <v>37</v>
      </c>
      <c r="J305" t="s">
        <v>38</v>
      </c>
      <c r="K305" s="1"/>
      <c r="L305" t="s">
        <v>38</v>
      </c>
      <c r="M305" t="s">
        <v>37</v>
      </c>
      <c r="O305" t="s">
        <v>38</v>
      </c>
      <c r="T305" t="str">
        <f>IF(RecruitmentTable[[#This Row],[Final Status]]="In process","Screening",IF(RecruitmentTable[[#This Row],[Final Status]]="Selected","Offer","Rejected"))</f>
        <v>Rejected</v>
      </c>
      <c r="U305">
        <f>IF(RecruitmentTable[[#This Row],[Final Status]]="Selected",1,0)</f>
        <v>0</v>
      </c>
    </row>
    <row r="306" spans="1:21" x14ac:dyDescent="0.25">
      <c r="A306" t="s">
        <v>545</v>
      </c>
      <c r="B306" t="s">
        <v>149</v>
      </c>
      <c r="C306" s="1">
        <v>46077</v>
      </c>
      <c r="D306" t="s">
        <v>33</v>
      </c>
      <c r="E306" t="s">
        <v>34</v>
      </c>
      <c r="F306" t="s">
        <v>35</v>
      </c>
      <c r="G306" t="s">
        <v>84</v>
      </c>
      <c r="H306" t="s">
        <v>72</v>
      </c>
      <c r="I306" t="s">
        <v>26</v>
      </c>
      <c r="J306" t="s">
        <v>27</v>
      </c>
      <c r="K306" s="1">
        <v>46089</v>
      </c>
      <c r="L306" t="s">
        <v>28</v>
      </c>
      <c r="M306" t="s">
        <v>29</v>
      </c>
      <c r="N306" s="1">
        <v>46096</v>
      </c>
      <c r="O306" t="s">
        <v>30</v>
      </c>
      <c r="P306" s="1">
        <v>46122</v>
      </c>
      <c r="Q306">
        <v>12</v>
      </c>
      <c r="R306">
        <v>7</v>
      </c>
      <c r="S306">
        <v>26</v>
      </c>
      <c r="T306" t="str">
        <f>IF(RecruitmentTable[[#This Row],[Final Status]]="In process","Screening",IF(RecruitmentTable[[#This Row],[Final Status]]="Selected","Offer","Rejected"))</f>
        <v>Offer</v>
      </c>
      <c r="U306">
        <f>IF(RecruitmentTable[[#This Row],[Final Status]]="Selected",1,0)</f>
        <v>1</v>
      </c>
    </row>
    <row r="307" spans="1:21" x14ac:dyDescent="0.25">
      <c r="A307" t="s">
        <v>546</v>
      </c>
      <c r="B307" t="s">
        <v>171</v>
      </c>
      <c r="C307" s="1">
        <v>46076</v>
      </c>
      <c r="D307" t="s">
        <v>41</v>
      </c>
      <c r="E307" t="s">
        <v>42</v>
      </c>
      <c r="F307" t="s">
        <v>57</v>
      </c>
      <c r="G307" t="s">
        <v>71</v>
      </c>
      <c r="H307" t="s">
        <v>44</v>
      </c>
      <c r="I307" t="s">
        <v>26</v>
      </c>
      <c r="J307" t="s">
        <v>27</v>
      </c>
      <c r="K307" s="1">
        <v>46090</v>
      </c>
      <c r="L307" t="s">
        <v>28</v>
      </c>
      <c r="M307" t="s">
        <v>29</v>
      </c>
      <c r="N307" s="1">
        <v>46093</v>
      </c>
      <c r="O307" t="s">
        <v>30</v>
      </c>
      <c r="P307" s="1">
        <v>46114</v>
      </c>
      <c r="Q307">
        <v>14</v>
      </c>
      <c r="R307">
        <v>3</v>
      </c>
      <c r="S307">
        <v>21</v>
      </c>
      <c r="T307" t="str">
        <f>IF(RecruitmentTable[[#This Row],[Final Status]]="In process","Screening",IF(RecruitmentTable[[#This Row],[Final Status]]="Selected","Offer","Rejected"))</f>
        <v>Offer</v>
      </c>
      <c r="U307">
        <f>IF(RecruitmentTable[[#This Row],[Final Status]]="Selected",1,0)</f>
        <v>1</v>
      </c>
    </row>
    <row r="308" spans="1:21" x14ac:dyDescent="0.25">
      <c r="A308" t="s">
        <v>547</v>
      </c>
      <c r="B308" t="s">
        <v>327</v>
      </c>
      <c r="C308" s="1">
        <v>46270</v>
      </c>
      <c r="D308" t="s">
        <v>65</v>
      </c>
      <c r="E308" t="s">
        <v>42</v>
      </c>
      <c r="F308" t="s">
        <v>50</v>
      </c>
      <c r="G308" t="s">
        <v>24</v>
      </c>
      <c r="H308" t="s">
        <v>72</v>
      </c>
      <c r="I308" t="s">
        <v>26</v>
      </c>
      <c r="J308" t="s">
        <v>27</v>
      </c>
      <c r="K308" s="1">
        <v>46280</v>
      </c>
      <c r="L308" t="s">
        <v>28</v>
      </c>
      <c r="M308" t="s">
        <v>29</v>
      </c>
      <c r="N308" s="1">
        <v>46283</v>
      </c>
      <c r="O308" t="s">
        <v>30</v>
      </c>
      <c r="P308" s="1">
        <v>46300</v>
      </c>
      <c r="Q308">
        <v>10</v>
      </c>
      <c r="R308">
        <v>3</v>
      </c>
      <c r="S308">
        <v>17</v>
      </c>
      <c r="T308" t="str">
        <f>IF(RecruitmentTable[[#This Row],[Final Status]]="In process","Screening",IF(RecruitmentTable[[#This Row],[Final Status]]="Selected","Offer","Rejected"))</f>
        <v>Offer</v>
      </c>
      <c r="U308">
        <f>IF(RecruitmentTable[[#This Row],[Final Status]]="Selected",1,0)</f>
        <v>1</v>
      </c>
    </row>
    <row r="309" spans="1:21" x14ac:dyDescent="0.25">
      <c r="A309" t="s">
        <v>548</v>
      </c>
      <c r="B309" t="s">
        <v>225</v>
      </c>
      <c r="C309" s="1">
        <v>46179</v>
      </c>
      <c r="D309" t="s">
        <v>33</v>
      </c>
      <c r="E309" t="s">
        <v>34</v>
      </c>
      <c r="F309" t="s">
        <v>57</v>
      </c>
      <c r="G309" t="s">
        <v>47</v>
      </c>
      <c r="H309" t="s">
        <v>72</v>
      </c>
      <c r="I309" t="s">
        <v>37</v>
      </c>
      <c r="J309" t="s">
        <v>38</v>
      </c>
      <c r="K309" s="1"/>
      <c r="L309" t="s">
        <v>38</v>
      </c>
      <c r="M309" t="s">
        <v>37</v>
      </c>
      <c r="O309" t="s">
        <v>38</v>
      </c>
      <c r="T309" t="str">
        <f>IF(RecruitmentTable[[#This Row],[Final Status]]="In process","Screening",IF(RecruitmentTable[[#This Row],[Final Status]]="Selected","Offer","Rejected"))</f>
        <v>Rejected</v>
      </c>
      <c r="U309">
        <f>IF(RecruitmentTable[[#This Row],[Final Status]]="Selected",1,0)</f>
        <v>0</v>
      </c>
    </row>
    <row r="310" spans="1:21" x14ac:dyDescent="0.25">
      <c r="A310" t="s">
        <v>549</v>
      </c>
      <c r="B310" t="s">
        <v>185</v>
      </c>
      <c r="C310" s="1">
        <v>46122</v>
      </c>
      <c r="D310" t="s">
        <v>33</v>
      </c>
      <c r="E310" t="s">
        <v>34</v>
      </c>
      <c r="F310" t="s">
        <v>43</v>
      </c>
      <c r="G310" t="s">
        <v>66</v>
      </c>
      <c r="H310" t="s">
        <v>44</v>
      </c>
      <c r="I310" t="s">
        <v>37</v>
      </c>
      <c r="J310" t="s">
        <v>38</v>
      </c>
      <c r="K310" s="1"/>
      <c r="L310" t="s">
        <v>38</v>
      </c>
      <c r="M310" t="s">
        <v>37</v>
      </c>
      <c r="O310" t="s">
        <v>38</v>
      </c>
      <c r="T310" t="str">
        <f>IF(RecruitmentTable[[#This Row],[Final Status]]="In process","Screening",IF(RecruitmentTable[[#This Row],[Final Status]]="Selected","Offer","Rejected"))</f>
        <v>Rejected</v>
      </c>
      <c r="U310">
        <f>IF(RecruitmentTable[[#This Row],[Final Status]]="Selected",1,0)</f>
        <v>0</v>
      </c>
    </row>
    <row r="311" spans="1:21" x14ac:dyDescent="0.25">
      <c r="A311" t="s">
        <v>550</v>
      </c>
      <c r="B311" t="s">
        <v>359</v>
      </c>
      <c r="C311" s="1">
        <v>46240</v>
      </c>
      <c r="D311" t="s">
        <v>65</v>
      </c>
      <c r="E311" t="s">
        <v>42</v>
      </c>
      <c r="F311" t="s">
        <v>23</v>
      </c>
      <c r="G311" t="s">
        <v>66</v>
      </c>
      <c r="H311" t="s">
        <v>51</v>
      </c>
      <c r="I311" t="s">
        <v>26</v>
      </c>
      <c r="J311" t="s">
        <v>27</v>
      </c>
      <c r="K311" s="1">
        <v>46248</v>
      </c>
      <c r="L311" t="s">
        <v>28</v>
      </c>
      <c r="M311" t="s">
        <v>37</v>
      </c>
      <c r="O311" t="s">
        <v>38</v>
      </c>
      <c r="Q311">
        <v>8</v>
      </c>
      <c r="T311" t="str">
        <f>IF(RecruitmentTable[[#This Row],[Final Status]]="In process","Screening",IF(RecruitmentTable[[#This Row],[Final Status]]="Selected","Offer","Rejected"))</f>
        <v>Rejected</v>
      </c>
      <c r="U311">
        <f>IF(RecruitmentTable[[#This Row],[Final Status]]="Selected",1,0)</f>
        <v>0</v>
      </c>
    </row>
    <row r="312" spans="1:21" x14ac:dyDescent="0.25">
      <c r="A312" t="s">
        <v>551</v>
      </c>
      <c r="B312" t="s">
        <v>165</v>
      </c>
      <c r="C312" s="1">
        <v>46033</v>
      </c>
      <c r="D312" t="s">
        <v>33</v>
      </c>
      <c r="E312" t="s">
        <v>34</v>
      </c>
      <c r="F312" t="s">
        <v>57</v>
      </c>
      <c r="G312" t="s">
        <v>71</v>
      </c>
      <c r="H312" t="s">
        <v>25</v>
      </c>
      <c r="I312" t="s">
        <v>26</v>
      </c>
      <c r="J312" t="s">
        <v>27</v>
      </c>
      <c r="K312" s="1">
        <v>46037</v>
      </c>
      <c r="L312" t="s">
        <v>28</v>
      </c>
      <c r="M312" t="s">
        <v>37</v>
      </c>
      <c r="O312" t="s">
        <v>38</v>
      </c>
      <c r="Q312">
        <v>4</v>
      </c>
      <c r="T312" t="str">
        <f>IF(RecruitmentTable[[#This Row],[Final Status]]="In process","Screening",IF(RecruitmentTable[[#This Row],[Final Status]]="Selected","Offer","Rejected"))</f>
        <v>Rejected</v>
      </c>
      <c r="U312">
        <f>IF(RecruitmentTable[[#This Row],[Final Status]]="Selected",1,0)</f>
        <v>0</v>
      </c>
    </row>
    <row r="313" spans="1:21" x14ac:dyDescent="0.25">
      <c r="A313" t="s">
        <v>552</v>
      </c>
      <c r="B313" t="s">
        <v>175</v>
      </c>
      <c r="C313" s="1">
        <v>46050</v>
      </c>
      <c r="D313" t="s">
        <v>33</v>
      </c>
      <c r="E313" t="s">
        <v>34</v>
      </c>
      <c r="F313" t="s">
        <v>57</v>
      </c>
      <c r="G313" t="s">
        <v>36</v>
      </c>
      <c r="H313" t="s">
        <v>62</v>
      </c>
      <c r="I313" t="s">
        <v>26</v>
      </c>
      <c r="J313" t="s">
        <v>27</v>
      </c>
      <c r="K313" s="1">
        <v>46055</v>
      </c>
      <c r="L313" t="s">
        <v>28</v>
      </c>
      <c r="M313" t="s">
        <v>37</v>
      </c>
      <c r="O313" t="s">
        <v>38</v>
      </c>
      <c r="Q313">
        <v>5</v>
      </c>
      <c r="T313" t="str">
        <f>IF(RecruitmentTable[[#This Row],[Final Status]]="In process","Screening",IF(RecruitmentTable[[#This Row],[Final Status]]="Selected","Offer","Rejected"))</f>
        <v>Rejected</v>
      </c>
      <c r="U313">
        <f>IF(RecruitmentTable[[#This Row],[Final Status]]="Selected",1,0)</f>
        <v>0</v>
      </c>
    </row>
    <row r="314" spans="1:21" x14ac:dyDescent="0.25">
      <c r="A314" t="s">
        <v>553</v>
      </c>
      <c r="B314" t="s">
        <v>217</v>
      </c>
      <c r="C314" s="1">
        <v>46122</v>
      </c>
      <c r="D314" t="s">
        <v>33</v>
      </c>
      <c r="E314" t="s">
        <v>34</v>
      </c>
      <c r="F314" t="s">
        <v>50</v>
      </c>
      <c r="G314" t="s">
        <v>24</v>
      </c>
      <c r="H314" t="s">
        <v>62</v>
      </c>
      <c r="I314" t="s">
        <v>37</v>
      </c>
      <c r="J314" t="s">
        <v>38</v>
      </c>
      <c r="K314" s="1"/>
      <c r="L314" t="s">
        <v>38</v>
      </c>
      <c r="M314" t="s">
        <v>37</v>
      </c>
      <c r="O314" t="s">
        <v>38</v>
      </c>
      <c r="T314" t="str">
        <f>IF(RecruitmentTable[[#This Row],[Final Status]]="In process","Screening",IF(RecruitmentTable[[#This Row],[Final Status]]="Selected","Offer","Rejected"))</f>
        <v>Rejected</v>
      </c>
      <c r="U314">
        <f>IF(RecruitmentTable[[#This Row],[Final Status]]="Selected",1,0)</f>
        <v>0</v>
      </c>
    </row>
    <row r="315" spans="1:21" x14ac:dyDescent="0.25">
      <c r="A315" t="s">
        <v>554</v>
      </c>
      <c r="B315" t="s">
        <v>300</v>
      </c>
      <c r="C315" s="1">
        <v>46131</v>
      </c>
      <c r="D315" t="s">
        <v>21</v>
      </c>
      <c r="E315" t="s">
        <v>22</v>
      </c>
      <c r="F315" t="s">
        <v>43</v>
      </c>
      <c r="G315" t="s">
        <v>24</v>
      </c>
      <c r="H315" t="s">
        <v>44</v>
      </c>
      <c r="I315" t="s">
        <v>37</v>
      </c>
      <c r="J315" t="s">
        <v>38</v>
      </c>
      <c r="K315" s="1"/>
      <c r="L315" t="s">
        <v>38</v>
      </c>
      <c r="M315" t="s">
        <v>37</v>
      </c>
      <c r="O315" t="s">
        <v>38</v>
      </c>
      <c r="T315" t="str">
        <f>IF(RecruitmentTable[[#This Row],[Final Status]]="In process","Screening",IF(RecruitmentTable[[#This Row],[Final Status]]="Selected","Offer","Rejected"))</f>
        <v>Rejected</v>
      </c>
      <c r="U315">
        <f>IF(RecruitmentTable[[#This Row],[Final Status]]="Selected",1,0)</f>
        <v>0</v>
      </c>
    </row>
    <row r="316" spans="1:21" x14ac:dyDescent="0.25">
      <c r="A316" t="s">
        <v>555</v>
      </c>
      <c r="B316" t="s">
        <v>556</v>
      </c>
      <c r="C316" s="1">
        <v>46171</v>
      </c>
      <c r="D316" t="s">
        <v>65</v>
      </c>
      <c r="E316" t="s">
        <v>42</v>
      </c>
      <c r="F316" t="s">
        <v>35</v>
      </c>
      <c r="G316" t="s">
        <v>36</v>
      </c>
      <c r="H316" t="s">
        <v>25</v>
      </c>
      <c r="I316" t="s">
        <v>26</v>
      </c>
      <c r="J316" t="s">
        <v>27</v>
      </c>
      <c r="K316" s="1">
        <v>46186</v>
      </c>
      <c r="L316" t="s">
        <v>28</v>
      </c>
      <c r="M316" t="s">
        <v>29</v>
      </c>
      <c r="N316" s="1">
        <v>46192</v>
      </c>
      <c r="O316" t="s">
        <v>30</v>
      </c>
      <c r="P316" s="1">
        <v>46211</v>
      </c>
      <c r="Q316">
        <v>15</v>
      </c>
      <c r="R316">
        <v>6</v>
      </c>
      <c r="S316">
        <v>19</v>
      </c>
      <c r="T316" t="str">
        <f>IF(RecruitmentTable[[#This Row],[Final Status]]="In process","Screening",IF(RecruitmentTable[[#This Row],[Final Status]]="Selected","Offer","Rejected"))</f>
        <v>Offer</v>
      </c>
      <c r="U316">
        <f>IF(RecruitmentTable[[#This Row],[Final Status]]="Selected",1,0)</f>
        <v>1</v>
      </c>
    </row>
    <row r="317" spans="1:21" x14ac:dyDescent="0.25">
      <c r="A317" t="s">
        <v>557</v>
      </c>
      <c r="B317" t="s">
        <v>558</v>
      </c>
      <c r="C317" s="1">
        <v>46187</v>
      </c>
      <c r="D317" t="s">
        <v>33</v>
      </c>
      <c r="E317" t="s">
        <v>34</v>
      </c>
      <c r="F317" t="s">
        <v>50</v>
      </c>
      <c r="G317" t="s">
        <v>47</v>
      </c>
      <c r="H317" t="s">
        <v>51</v>
      </c>
      <c r="I317" t="s">
        <v>26</v>
      </c>
      <c r="J317" t="s">
        <v>38</v>
      </c>
      <c r="K317" s="1"/>
      <c r="L317" t="s">
        <v>58</v>
      </c>
      <c r="M317" t="s">
        <v>59</v>
      </c>
      <c r="O317" t="s">
        <v>38</v>
      </c>
      <c r="T317" t="str">
        <f>IF(RecruitmentTable[[#This Row],[Final Status]]="In process","Screening",IF(RecruitmentTable[[#This Row],[Final Status]]="Selected","Offer","Rejected"))</f>
        <v>Screening</v>
      </c>
      <c r="U317">
        <f>IF(RecruitmentTable[[#This Row],[Final Status]]="Selected",1,0)</f>
        <v>0</v>
      </c>
    </row>
    <row r="318" spans="1:21" x14ac:dyDescent="0.25">
      <c r="A318" t="s">
        <v>559</v>
      </c>
      <c r="B318" t="s">
        <v>32</v>
      </c>
      <c r="C318" s="1">
        <v>46290</v>
      </c>
      <c r="D318" t="s">
        <v>65</v>
      </c>
      <c r="E318" t="s">
        <v>42</v>
      </c>
      <c r="F318" t="s">
        <v>35</v>
      </c>
      <c r="G318" t="s">
        <v>24</v>
      </c>
      <c r="H318" t="s">
        <v>44</v>
      </c>
      <c r="I318" t="s">
        <v>26</v>
      </c>
      <c r="J318" t="s">
        <v>27</v>
      </c>
      <c r="K318" s="1">
        <v>46300</v>
      </c>
      <c r="L318" t="s">
        <v>28</v>
      </c>
      <c r="M318" t="s">
        <v>37</v>
      </c>
      <c r="O318" t="s">
        <v>38</v>
      </c>
      <c r="Q318">
        <v>10</v>
      </c>
      <c r="T318" t="str">
        <f>IF(RecruitmentTable[[#This Row],[Final Status]]="In process","Screening",IF(RecruitmentTable[[#This Row],[Final Status]]="Selected","Offer","Rejected"))</f>
        <v>Rejected</v>
      </c>
      <c r="U318">
        <f>IF(RecruitmentTable[[#This Row],[Final Status]]="Selected",1,0)</f>
        <v>0</v>
      </c>
    </row>
    <row r="319" spans="1:21" x14ac:dyDescent="0.25">
      <c r="A319" t="s">
        <v>560</v>
      </c>
      <c r="B319" t="s">
        <v>145</v>
      </c>
      <c r="C319" s="1">
        <v>46126</v>
      </c>
      <c r="D319" t="s">
        <v>41</v>
      </c>
      <c r="E319" t="s">
        <v>42</v>
      </c>
      <c r="F319" t="s">
        <v>35</v>
      </c>
      <c r="G319" t="s">
        <v>47</v>
      </c>
      <c r="H319" t="s">
        <v>51</v>
      </c>
      <c r="I319" t="s">
        <v>37</v>
      </c>
      <c r="J319" t="s">
        <v>38</v>
      </c>
      <c r="K319" s="1"/>
      <c r="L319" t="s">
        <v>38</v>
      </c>
      <c r="M319" t="s">
        <v>37</v>
      </c>
      <c r="O319" t="s">
        <v>38</v>
      </c>
      <c r="T319" t="str">
        <f>IF(RecruitmentTable[[#This Row],[Final Status]]="In process","Screening",IF(RecruitmentTable[[#This Row],[Final Status]]="Selected","Offer","Rejected"))</f>
        <v>Rejected</v>
      </c>
      <c r="U319">
        <f>IF(RecruitmentTable[[#This Row],[Final Status]]="Selected",1,0)</f>
        <v>0</v>
      </c>
    </row>
    <row r="320" spans="1:21" x14ac:dyDescent="0.25">
      <c r="A320" t="s">
        <v>561</v>
      </c>
      <c r="B320" t="s">
        <v>202</v>
      </c>
      <c r="C320" s="1">
        <v>46156</v>
      </c>
      <c r="D320" t="s">
        <v>83</v>
      </c>
      <c r="E320" t="s">
        <v>34</v>
      </c>
      <c r="F320" t="s">
        <v>43</v>
      </c>
      <c r="G320" t="s">
        <v>84</v>
      </c>
      <c r="H320" t="s">
        <v>51</v>
      </c>
      <c r="I320" t="s">
        <v>26</v>
      </c>
      <c r="J320" t="s">
        <v>27</v>
      </c>
      <c r="K320" s="1">
        <v>46170</v>
      </c>
      <c r="L320" t="s">
        <v>28</v>
      </c>
      <c r="M320" t="s">
        <v>37</v>
      </c>
      <c r="O320" t="s">
        <v>38</v>
      </c>
      <c r="Q320">
        <v>14</v>
      </c>
      <c r="T320" t="str">
        <f>IF(RecruitmentTable[[#This Row],[Final Status]]="In process","Screening",IF(RecruitmentTable[[#This Row],[Final Status]]="Selected","Offer","Rejected"))</f>
        <v>Rejected</v>
      </c>
      <c r="U320">
        <f>IF(RecruitmentTable[[#This Row],[Final Status]]="Selected",1,0)</f>
        <v>0</v>
      </c>
    </row>
    <row r="321" spans="1:21" x14ac:dyDescent="0.25">
      <c r="A321" t="s">
        <v>562</v>
      </c>
      <c r="B321" t="s">
        <v>131</v>
      </c>
      <c r="C321" s="1">
        <v>46157</v>
      </c>
      <c r="D321" t="s">
        <v>33</v>
      </c>
      <c r="E321" t="s">
        <v>34</v>
      </c>
      <c r="F321" t="s">
        <v>35</v>
      </c>
      <c r="G321" t="s">
        <v>71</v>
      </c>
      <c r="H321" t="s">
        <v>72</v>
      </c>
      <c r="I321" t="s">
        <v>37</v>
      </c>
      <c r="J321" t="s">
        <v>38</v>
      </c>
      <c r="K321" s="1"/>
      <c r="L321" t="s">
        <v>38</v>
      </c>
      <c r="M321" t="s">
        <v>37</v>
      </c>
      <c r="O321" t="s">
        <v>38</v>
      </c>
      <c r="T321" t="str">
        <f>IF(RecruitmentTable[[#This Row],[Final Status]]="In process","Screening",IF(RecruitmentTable[[#This Row],[Final Status]]="Selected","Offer","Rejected"))</f>
        <v>Rejected</v>
      </c>
      <c r="U321">
        <f>IF(RecruitmentTable[[#This Row],[Final Status]]="Selected",1,0)</f>
        <v>0</v>
      </c>
    </row>
    <row r="322" spans="1:21" x14ac:dyDescent="0.25">
      <c r="A322" t="s">
        <v>563</v>
      </c>
      <c r="B322" t="s">
        <v>223</v>
      </c>
      <c r="C322" s="1">
        <v>46236</v>
      </c>
      <c r="D322" t="s">
        <v>41</v>
      </c>
      <c r="E322" t="s">
        <v>42</v>
      </c>
      <c r="F322" t="s">
        <v>50</v>
      </c>
      <c r="G322" t="s">
        <v>47</v>
      </c>
      <c r="H322" t="s">
        <v>25</v>
      </c>
      <c r="I322" t="s">
        <v>26</v>
      </c>
      <c r="J322" t="s">
        <v>27</v>
      </c>
      <c r="K322" s="1">
        <v>46246</v>
      </c>
      <c r="L322" t="s">
        <v>28</v>
      </c>
      <c r="M322" t="s">
        <v>37</v>
      </c>
      <c r="O322" t="s">
        <v>38</v>
      </c>
      <c r="Q322">
        <v>10</v>
      </c>
      <c r="T322" t="str">
        <f>IF(RecruitmentTable[[#This Row],[Final Status]]="In process","Screening",IF(RecruitmentTable[[#This Row],[Final Status]]="Selected","Offer","Rejected"))</f>
        <v>Rejected</v>
      </c>
      <c r="U322">
        <f>IF(RecruitmentTable[[#This Row],[Final Status]]="Selected",1,0)</f>
        <v>0</v>
      </c>
    </row>
    <row r="323" spans="1:21" x14ac:dyDescent="0.25">
      <c r="A323" t="s">
        <v>564</v>
      </c>
      <c r="B323" t="s">
        <v>345</v>
      </c>
      <c r="C323" s="1">
        <v>46026</v>
      </c>
      <c r="D323" t="s">
        <v>33</v>
      </c>
      <c r="E323" t="s">
        <v>34</v>
      </c>
      <c r="F323" t="s">
        <v>23</v>
      </c>
      <c r="G323" t="s">
        <v>66</v>
      </c>
      <c r="H323" t="s">
        <v>44</v>
      </c>
      <c r="I323" t="s">
        <v>26</v>
      </c>
      <c r="J323" t="s">
        <v>38</v>
      </c>
      <c r="K323" s="1"/>
      <c r="L323" t="s">
        <v>58</v>
      </c>
      <c r="M323" t="s">
        <v>59</v>
      </c>
      <c r="O323" t="s">
        <v>38</v>
      </c>
      <c r="T323" t="str">
        <f>IF(RecruitmentTable[[#This Row],[Final Status]]="In process","Screening",IF(RecruitmentTable[[#This Row],[Final Status]]="Selected","Offer","Rejected"))</f>
        <v>Screening</v>
      </c>
      <c r="U323">
        <f>IF(RecruitmentTable[[#This Row],[Final Status]]="Selected",1,0)</f>
        <v>0</v>
      </c>
    </row>
    <row r="324" spans="1:21" x14ac:dyDescent="0.25">
      <c r="A324" t="s">
        <v>565</v>
      </c>
      <c r="B324" t="s">
        <v>330</v>
      </c>
      <c r="C324" s="1">
        <v>46081</v>
      </c>
      <c r="D324" t="s">
        <v>21</v>
      </c>
      <c r="E324" t="s">
        <v>22</v>
      </c>
      <c r="F324" t="s">
        <v>100</v>
      </c>
      <c r="G324" t="s">
        <v>36</v>
      </c>
      <c r="H324" t="s">
        <v>72</v>
      </c>
      <c r="I324" t="s">
        <v>37</v>
      </c>
      <c r="J324" t="s">
        <v>38</v>
      </c>
      <c r="K324" s="1"/>
      <c r="L324" t="s">
        <v>38</v>
      </c>
      <c r="M324" t="s">
        <v>37</v>
      </c>
      <c r="O324" t="s">
        <v>38</v>
      </c>
      <c r="T324" t="str">
        <f>IF(RecruitmentTable[[#This Row],[Final Status]]="In process","Screening",IF(RecruitmentTable[[#This Row],[Final Status]]="Selected","Offer","Rejected"))</f>
        <v>Rejected</v>
      </c>
      <c r="U324">
        <f>IF(RecruitmentTable[[#This Row],[Final Status]]="Selected",1,0)</f>
        <v>0</v>
      </c>
    </row>
    <row r="325" spans="1:21" x14ac:dyDescent="0.25">
      <c r="A325" t="s">
        <v>566</v>
      </c>
      <c r="B325" t="s">
        <v>567</v>
      </c>
      <c r="C325" s="1">
        <v>46289</v>
      </c>
      <c r="D325" t="s">
        <v>33</v>
      </c>
      <c r="E325" t="s">
        <v>34</v>
      </c>
      <c r="F325" t="s">
        <v>100</v>
      </c>
      <c r="G325" t="s">
        <v>36</v>
      </c>
      <c r="H325" t="s">
        <v>44</v>
      </c>
      <c r="I325" t="s">
        <v>37</v>
      </c>
      <c r="J325" t="s">
        <v>38</v>
      </c>
      <c r="K325" s="1"/>
      <c r="L325" t="s">
        <v>38</v>
      </c>
      <c r="M325" t="s">
        <v>37</v>
      </c>
      <c r="O325" t="s">
        <v>38</v>
      </c>
      <c r="T325" t="str">
        <f>IF(RecruitmentTable[[#This Row],[Final Status]]="In process","Screening",IF(RecruitmentTable[[#This Row],[Final Status]]="Selected","Offer","Rejected"))</f>
        <v>Rejected</v>
      </c>
      <c r="U325">
        <f>IF(RecruitmentTable[[#This Row],[Final Status]]="Selected",1,0)</f>
        <v>0</v>
      </c>
    </row>
    <row r="326" spans="1:21" x14ac:dyDescent="0.25">
      <c r="A326" t="s">
        <v>568</v>
      </c>
      <c r="B326" t="s">
        <v>569</v>
      </c>
      <c r="C326" s="1">
        <v>46197</v>
      </c>
      <c r="D326" t="s">
        <v>33</v>
      </c>
      <c r="E326" t="s">
        <v>34</v>
      </c>
      <c r="F326" t="s">
        <v>35</v>
      </c>
      <c r="G326" t="s">
        <v>84</v>
      </c>
      <c r="H326" t="s">
        <v>72</v>
      </c>
      <c r="I326" t="s">
        <v>37</v>
      </c>
      <c r="J326" t="s">
        <v>38</v>
      </c>
      <c r="K326" s="1"/>
      <c r="L326" t="s">
        <v>38</v>
      </c>
      <c r="M326" t="s">
        <v>37</v>
      </c>
      <c r="O326" t="s">
        <v>38</v>
      </c>
      <c r="T326" t="str">
        <f>IF(RecruitmentTable[[#This Row],[Final Status]]="In process","Screening",IF(RecruitmentTable[[#This Row],[Final Status]]="Selected","Offer","Rejected"))</f>
        <v>Rejected</v>
      </c>
      <c r="U326">
        <f>IF(RecruitmentTable[[#This Row],[Final Status]]="Selected",1,0)</f>
        <v>0</v>
      </c>
    </row>
    <row r="327" spans="1:21" x14ac:dyDescent="0.25">
      <c r="A327" t="s">
        <v>570</v>
      </c>
      <c r="B327" t="s">
        <v>571</v>
      </c>
      <c r="C327" s="1">
        <v>46027</v>
      </c>
      <c r="D327" t="s">
        <v>83</v>
      </c>
      <c r="E327" t="s">
        <v>34</v>
      </c>
      <c r="F327" t="s">
        <v>57</v>
      </c>
      <c r="G327" t="s">
        <v>24</v>
      </c>
      <c r="H327" t="s">
        <v>72</v>
      </c>
      <c r="I327" t="s">
        <v>37</v>
      </c>
      <c r="J327" t="s">
        <v>38</v>
      </c>
      <c r="K327" s="1"/>
      <c r="L327" t="s">
        <v>38</v>
      </c>
      <c r="M327" t="s">
        <v>37</v>
      </c>
      <c r="O327" t="s">
        <v>38</v>
      </c>
      <c r="T327" t="str">
        <f>IF(RecruitmentTable[[#This Row],[Final Status]]="In process","Screening",IF(RecruitmentTable[[#This Row],[Final Status]]="Selected","Offer","Rejected"))</f>
        <v>Rejected</v>
      </c>
      <c r="U327">
        <f>IF(RecruitmentTable[[#This Row],[Final Status]]="Selected",1,0)</f>
        <v>0</v>
      </c>
    </row>
    <row r="328" spans="1:21" x14ac:dyDescent="0.25">
      <c r="A328" t="s">
        <v>572</v>
      </c>
      <c r="B328" t="s">
        <v>573</v>
      </c>
      <c r="C328" s="1">
        <v>46246</v>
      </c>
      <c r="D328" t="s">
        <v>83</v>
      </c>
      <c r="E328" t="s">
        <v>34</v>
      </c>
      <c r="F328" t="s">
        <v>57</v>
      </c>
      <c r="G328" t="s">
        <v>71</v>
      </c>
      <c r="H328" t="s">
        <v>51</v>
      </c>
      <c r="I328" t="s">
        <v>26</v>
      </c>
      <c r="J328" t="s">
        <v>27</v>
      </c>
      <c r="K328" s="1">
        <v>46252</v>
      </c>
      <c r="L328" t="s">
        <v>28</v>
      </c>
      <c r="M328" t="s">
        <v>37</v>
      </c>
      <c r="O328" t="s">
        <v>38</v>
      </c>
      <c r="Q328">
        <v>6</v>
      </c>
      <c r="T328" t="str">
        <f>IF(RecruitmentTable[[#This Row],[Final Status]]="In process","Screening",IF(RecruitmentTable[[#This Row],[Final Status]]="Selected","Offer","Rejected"))</f>
        <v>Rejected</v>
      </c>
      <c r="U328">
        <f>IF(RecruitmentTable[[#This Row],[Final Status]]="Selected",1,0)</f>
        <v>0</v>
      </c>
    </row>
    <row r="329" spans="1:21" x14ac:dyDescent="0.25">
      <c r="A329" t="s">
        <v>574</v>
      </c>
      <c r="B329" t="s">
        <v>575</v>
      </c>
      <c r="C329" s="1">
        <v>46030</v>
      </c>
      <c r="D329" t="s">
        <v>41</v>
      </c>
      <c r="E329" t="s">
        <v>42</v>
      </c>
      <c r="F329" t="s">
        <v>23</v>
      </c>
      <c r="G329" t="s">
        <v>24</v>
      </c>
      <c r="H329" t="s">
        <v>62</v>
      </c>
      <c r="I329" t="s">
        <v>37</v>
      </c>
      <c r="J329" t="s">
        <v>38</v>
      </c>
      <c r="K329" s="1"/>
      <c r="L329" t="s">
        <v>38</v>
      </c>
      <c r="M329" t="s">
        <v>37</v>
      </c>
      <c r="O329" t="s">
        <v>38</v>
      </c>
      <c r="T329" t="str">
        <f>IF(RecruitmentTable[[#This Row],[Final Status]]="In process","Screening",IF(RecruitmentTable[[#This Row],[Final Status]]="Selected","Offer","Rejected"))</f>
        <v>Rejected</v>
      </c>
      <c r="U329">
        <f>IF(RecruitmentTable[[#This Row],[Final Status]]="Selected",1,0)</f>
        <v>0</v>
      </c>
    </row>
    <row r="330" spans="1:21" x14ac:dyDescent="0.25">
      <c r="A330" t="s">
        <v>576</v>
      </c>
      <c r="B330" t="s">
        <v>315</v>
      </c>
      <c r="C330" s="1">
        <v>46178</v>
      </c>
      <c r="D330" t="s">
        <v>65</v>
      </c>
      <c r="E330" t="s">
        <v>42</v>
      </c>
      <c r="F330" t="s">
        <v>50</v>
      </c>
      <c r="G330" t="s">
        <v>24</v>
      </c>
      <c r="H330" t="s">
        <v>44</v>
      </c>
      <c r="I330" t="s">
        <v>37</v>
      </c>
      <c r="J330" t="s">
        <v>38</v>
      </c>
      <c r="K330" s="1"/>
      <c r="L330" t="s">
        <v>38</v>
      </c>
      <c r="M330" t="s">
        <v>37</v>
      </c>
      <c r="O330" t="s">
        <v>38</v>
      </c>
      <c r="T330" t="str">
        <f>IF(RecruitmentTable[[#This Row],[Final Status]]="In process","Screening",IF(RecruitmentTable[[#This Row],[Final Status]]="Selected","Offer","Rejected"))</f>
        <v>Rejected</v>
      </c>
      <c r="U330">
        <f>IF(RecruitmentTable[[#This Row],[Final Status]]="Selected",1,0)</f>
        <v>0</v>
      </c>
    </row>
    <row r="331" spans="1:21" x14ac:dyDescent="0.25">
      <c r="A331" t="s">
        <v>577</v>
      </c>
      <c r="B331" t="s">
        <v>424</v>
      </c>
      <c r="C331" s="1">
        <v>46111</v>
      </c>
      <c r="D331" t="s">
        <v>33</v>
      </c>
      <c r="E331" t="s">
        <v>34</v>
      </c>
      <c r="F331" t="s">
        <v>57</v>
      </c>
      <c r="G331" t="s">
        <v>24</v>
      </c>
      <c r="H331" t="s">
        <v>51</v>
      </c>
      <c r="I331" t="s">
        <v>37</v>
      </c>
      <c r="J331" t="s">
        <v>38</v>
      </c>
      <c r="K331" s="1"/>
      <c r="L331" t="s">
        <v>38</v>
      </c>
      <c r="M331" t="s">
        <v>37</v>
      </c>
      <c r="O331" t="s">
        <v>38</v>
      </c>
      <c r="T331" t="str">
        <f>IF(RecruitmentTable[[#This Row],[Final Status]]="In process","Screening",IF(RecruitmentTable[[#This Row],[Final Status]]="Selected","Offer","Rejected"))</f>
        <v>Rejected</v>
      </c>
      <c r="U331">
        <f>IF(RecruitmentTable[[#This Row],[Final Status]]="Selected",1,0)</f>
        <v>0</v>
      </c>
    </row>
    <row r="332" spans="1:21" x14ac:dyDescent="0.25">
      <c r="A332" t="s">
        <v>578</v>
      </c>
      <c r="B332" t="s">
        <v>131</v>
      </c>
      <c r="C332" s="1">
        <v>46081</v>
      </c>
      <c r="D332" t="s">
        <v>56</v>
      </c>
      <c r="E332" t="s">
        <v>34</v>
      </c>
      <c r="F332" t="s">
        <v>43</v>
      </c>
      <c r="G332" t="s">
        <v>71</v>
      </c>
      <c r="H332" t="s">
        <v>51</v>
      </c>
      <c r="I332" t="s">
        <v>37</v>
      </c>
      <c r="J332" t="s">
        <v>38</v>
      </c>
      <c r="K332" s="1"/>
      <c r="L332" t="s">
        <v>38</v>
      </c>
      <c r="M332" t="s">
        <v>37</v>
      </c>
      <c r="O332" t="s">
        <v>38</v>
      </c>
      <c r="T332" t="str">
        <f>IF(RecruitmentTable[[#This Row],[Final Status]]="In process","Screening",IF(RecruitmentTable[[#This Row],[Final Status]]="Selected","Offer","Rejected"))</f>
        <v>Rejected</v>
      </c>
      <c r="U332">
        <f>IF(RecruitmentTable[[#This Row],[Final Status]]="Selected",1,0)</f>
        <v>0</v>
      </c>
    </row>
    <row r="333" spans="1:21" x14ac:dyDescent="0.25">
      <c r="A333" t="s">
        <v>579</v>
      </c>
      <c r="B333" t="s">
        <v>95</v>
      </c>
      <c r="C333" s="1">
        <v>46030</v>
      </c>
      <c r="D333" t="s">
        <v>21</v>
      </c>
      <c r="E333" t="s">
        <v>22</v>
      </c>
      <c r="F333" t="s">
        <v>57</v>
      </c>
      <c r="G333" t="s">
        <v>84</v>
      </c>
      <c r="H333" t="s">
        <v>62</v>
      </c>
      <c r="I333" t="s">
        <v>37</v>
      </c>
      <c r="J333" t="s">
        <v>38</v>
      </c>
      <c r="K333" s="1"/>
      <c r="L333" t="s">
        <v>38</v>
      </c>
      <c r="M333" t="s">
        <v>37</v>
      </c>
      <c r="O333" t="s">
        <v>38</v>
      </c>
      <c r="T333" t="str">
        <f>IF(RecruitmentTable[[#This Row],[Final Status]]="In process","Screening",IF(RecruitmentTable[[#This Row],[Final Status]]="Selected","Offer","Rejected"))</f>
        <v>Rejected</v>
      </c>
      <c r="U333">
        <f>IF(RecruitmentTable[[#This Row],[Final Status]]="Selected",1,0)</f>
        <v>0</v>
      </c>
    </row>
    <row r="334" spans="1:21" x14ac:dyDescent="0.25">
      <c r="A334" t="s">
        <v>580</v>
      </c>
      <c r="B334" t="s">
        <v>581</v>
      </c>
      <c r="C334" s="1">
        <v>46264</v>
      </c>
      <c r="D334" t="s">
        <v>21</v>
      </c>
      <c r="E334" t="s">
        <v>22</v>
      </c>
      <c r="F334" t="s">
        <v>57</v>
      </c>
      <c r="G334" t="s">
        <v>36</v>
      </c>
      <c r="H334" t="s">
        <v>51</v>
      </c>
      <c r="I334" t="s">
        <v>37</v>
      </c>
      <c r="J334" t="s">
        <v>38</v>
      </c>
      <c r="K334" s="1"/>
      <c r="L334" t="s">
        <v>38</v>
      </c>
      <c r="M334" t="s">
        <v>37</v>
      </c>
      <c r="O334" t="s">
        <v>38</v>
      </c>
      <c r="T334" t="str">
        <f>IF(RecruitmentTable[[#This Row],[Final Status]]="In process","Screening",IF(RecruitmentTable[[#This Row],[Final Status]]="Selected","Offer","Rejected"))</f>
        <v>Rejected</v>
      </c>
      <c r="U334">
        <f>IF(RecruitmentTable[[#This Row],[Final Status]]="Selected",1,0)</f>
        <v>0</v>
      </c>
    </row>
    <row r="335" spans="1:21" x14ac:dyDescent="0.25">
      <c r="A335" t="s">
        <v>582</v>
      </c>
      <c r="B335" t="s">
        <v>278</v>
      </c>
      <c r="C335" s="1">
        <v>46193</v>
      </c>
      <c r="D335" t="s">
        <v>41</v>
      </c>
      <c r="E335" t="s">
        <v>42</v>
      </c>
      <c r="F335" t="s">
        <v>57</v>
      </c>
      <c r="G335" t="s">
        <v>47</v>
      </c>
      <c r="H335" t="s">
        <v>62</v>
      </c>
      <c r="I335" t="s">
        <v>26</v>
      </c>
      <c r="J335" t="s">
        <v>27</v>
      </c>
      <c r="K335" s="1">
        <v>46208</v>
      </c>
      <c r="L335" t="s">
        <v>28</v>
      </c>
      <c r="M335" t="s">
        <v>37</v>
      </c>
      <c r="O335" t="s">
        <v>38</v>
      </c>
      <c r="Q335">
        <v>15</v>
      </c>
      <c r="T335" t="str">
        <f>IF(RecruitmentTable[[#This Row],[Final Status]]="In process","Screening",IF(RecruitmentTable[[#This Row],[Final Status]]="Selected","Offer","Rejected"))</f>
        <v>Rejected</v>
      </c>
      <c r="U335">
        <f>IF(RecruitmentTable[[#This Row],[Final Status]]="Selected",1,0)</f>
        <v>0</v>
      </c>
    </row>
    <row r="336" spans="1:21" x14ac:dyDescent="0.25">
      <c r="A336" t="s">
        <v>583</v>
      </c>
      <c r="B336" t="s">
        <v>428</v>
      </c>
      <c r="C336" s="1">
        <v>46032</v>
      </c>
      <c r="D336" t="s">
        <v>33</v>
      </c>
      <c r="E336" t="s">
        <v>34</v>
      </c>
      <c r="F336" t="s">
        <v>100</v>
      </c>
      <c r="G336" t="s">
        <v>24</v>
      </c>
      <c r="H336" t="s">
        <v>51</v>
      </c>
      <c r="I336" t="s">
        <v>37</v>
      </c>
      <c r="J336" t="s">
        <v>38</v>
      </c>
      <c r="K336" s="1"/>
      <c r="L336" t="s">
        <v>38</v>
      </c>
      <c r="M336" t="s">
        <v>37</v>
      </c>
      <c r="O336" t="s">
        <v>38</v>
      </c>
      <c r="T336" t="str">
        <f>IF(RecruitmentTable[[#This Row],[Final Status]]="In process","Screening",IF(RecruitmentTable[[#This Row],[Final Status]]="Selected","Offer","Rejected"))</f>
        <v>Rejected</v>
      </c>
      <c r="U336">
        <f>IF(RecruitmentTable[[#This Row],[Final Status]]="Selected",1,0)</f>
        <v>0</v>
      </c>
    </row>
    <row r="337" spans="1:21" x14ac:dyDescent="0.25">
      <c r="A337" t="s">
        <v>584</v>
      </c>
      <c r="B337" t="s">
        <v>449</v>
      </c>
      <c r="C337" s="1">
        <v>46139</v>
      </c>
      <c r="D337" t="s">
        <v>41</v>
      </c>
      <c r="E337" t="s">
        <v>42</v>
      </c>
      <c r="F337" t="s">
        <v>35</v>
      </c>
      <c r="G337" t="s">
        <v>24</v>
      </c>
      <c r="H337" t="s">
        <v>51</v>
      </c>
      <c r="I337" t="s">
        <v>26</v>
      </c>
      <c r="J337" t="s">
        <v>38</v>
      </c>
      <c r="K337" s="1"/>
      <c r="L337" t="s">
        <v>58</v>
      </c>
      <c r="M337" t="s">
        <v>59</v>
      </c>
      <c r="O337" t="s">
        <v>38</v>
      </c>
      <c r="T337" t="str">
        <f>IF(RecruitmentTable[[#This Row],[Final Status]]="In process","Screening",IF(RecruitmentTable[[#This Row],[Final Status]]="Selected","Offer","Rejected"))</f>
        <v>Screening</v>
      </c>
      <c r="U337">
        <f>IF(RecruitmentTable[[#This Row],[Final Status]]="Selected",1,0)</f>
        <v>0</v>
      </c>
    </row>
    <row r="338" spans="1:21" x14ac:dyDescent="0.25">
      <c r="A338" t="s">
        <v>585</v>
      </c>
      <c r="B338" t="s">
        <v>437</v>
      </c>
      <c r="C338" s="1">
        <v>46203</v>
      </c>
      <c r="D338" t="s">
        <v>56</v>
      </c>
      <c r="E338" t="s">
        <v>34</v>
      </c>
      <c r="F338" t="s">
        <v>57</v>
      </c>
      <c r="G338" t="s">
        <v>36</v>
      </c>
      <c r="H338" t="s">
        <v>51</v>
      </c>
      <c r="I338" t="s">
        <v>37</v>
      </c>
      <c r="J338" t="s">
        <v>38</v>
      </c>
      <c r="K338" s="1"/>
      <c r="L338" t="s">
        <v>38</v>
      </c>
      <c r="M338" t="s">
        <v>37</v>
      </c>
      <c r="O338" t="s">
        <v>38</v>
      </c>
      <c r="T338" t="str">
        <f>IF(RecruitmentTable[[#This Row],[Final Status]]="In process","Screening",IF(RecruitmentTable[[#This Row],[Final Status]]="Selected","Offer","Rejected"))</f>
        <v>Rejected</v>
      </c>
      <c r="U338">
        <f>IF(RecruitmentTable[[#This Row],[Final Status]]="Selected",1,0)</f>
        <v>0</v>
      </c>
    </row>
    <row r="339" spans="1:21" x14ac:dyDescent="0.25">
      <c r="A339" t="s">
        <v>586</v>
      </c>
      <c r="B339" t="s">
        <v>251</v>
      </c>
      <c r="C339" s="1">
        <v>46288</v>
      </c>
      <c r="D339" t="s">
        <v>21</v>
      </c>
      <c r="E339" t="s">
        <v>22</v>
      </c>
      <c r="F339" t="s">
        <v>57</v>
      </c>
      <c r="G339" t="s">
        <v>71</v>
      </c>
      <c r="H339" t="s">
        <v>72</v>
      </c>
      <c r="I339" t="s">
        <v>26</v>
      </c>
      <c r="J339" t="s">
        <v>38</v>
      </c>
      <c r="K339" s="1"/>
      <c r="L339" t="s">
        <v>58</v>
      </c>
      <c r="M339" t="s">
        <v>59</v>
      </c>
      <c r="O339" t="s">
        <v>38</v>
      </c>
      <c r="T339" t="str">
        <f>IF(RecruitmentTable[[#This Row],[Final Status]]="In process","Screening",IF(RecruitmentTable[[#This Row],[Final Status]]="Selected","Offer","Rejected"))</f>
        <v>Screening</v>
      </c>
      <c r="U339">
        <f>IF(RecruitmentTable[[#This Row],[Final Status]]="Selected",1,0)</f>
        <v>0</v>
      </c>
    </row>
    <row r="340" spans="1:21" x14ac:dyDescent="0.25">
      <c r="A340" t="s">
        <v>587</v>
      </c>
      <c r="B340" t="s">
        <v>588</v>
      </c>
      <c r="C340" s="1">
        <v>46243</v>
      </c>
      <c r="D340" t="s">
        <v>83</v>
      </c>
      <c r="E340" t="s">
        <v>34</v>
      </c>
      <c r="F340" t="s">
        <v>35</v>
      </c>
      <c r="G340" t="s">
        <v>71</v>
      </c>
      <c r="H340" t="s">
        <v>25</v>
      </c>
      <c r="I340" t="s">
        <v>26</v>
      </c>
      <c r="J340" t="s">
        <v>38</v>
      </c>
      <c r="K340" s="1"/>
      <c r="L340" t="s">
        <v>58</v>
      </c>
      <c r="M340" t="s">
        <v>59</v>
      </c>
      <c r="O340" t="s">
        <v>38</v>
      </c>
      <c r="T340" t="str">
        <f>IF(RecruitmentTable[[#This Row],[Final Status]]="In process","Screening",IF(RecruitmentTable[[#This Row],[Final Status]]="Selected","Offer","Rejected"))</f>
        <v>Screening</v>
      </c>
      <c r="U340">
        <f>IF(RecruitmentTable[[#This Row],[Final Status]]="Selected",1,0)</f>
        <v>0</v>
      </c>
    </row>
    <row r="341" spans="1:21" x14ac:dyDescent="0.25">
      <c r="A341" t="s">
        <v>589</v>
      </c>
      <c r="B341" t="s">
        <v>590</v>
      </c>
      <c r="C341" s="1">
        <v>46210</v>
      </c>
      <c r="D341" t="s">
        <v>83</v>
      </c>
      <c r="E341" t="s">
        <v>34</v>
      </c>
      <c r="F341" t="s">
        <v>23</v>
      </c>
      <c r="G341" t="s">
        <v>47</v>
      </c>
      <c r="H341" t="s">
        <v>25</v>
      </c>
      <c r="I341" t="s">
        <v>26</v>
      </c>
      <c r="J341" t="s">
        <v>38</v>
      </c>
      <c r="K341" s="1"/>
      <c r="L341" t="s">
        <v>58</v>
      </c>
      <c r="M341" t="s">
        <v>59</v>
      </c>
      <c r="O341" t="s">
        <v>38</v>
      </c>
      <c r="T341" t="str">
        <f>IF(RecruitmentTable[[#This Row],[Final Status]]="In process","Screening",IF(RecruitmentTable[[#This Row],[Final Status]]="Selected","Offer","Rejected"))</f>
        <v>Screening</v>
      </c>
      <c r="U341">
        <f>IF(RecruitmentTable[[#This Row],[Final Status]]="Selected",1,0)</f>
        <v>0</v>
      </c>
    </row>
    <row r="342" spans="1:21" x14ac:dyDescent="0.25">
      <c r="A342" t="s">
        <v>591</v>
      </c>
      <c r="B342" t="s">
        <v>592</v>
      </c>
      <c r="C342" s="1">
        <v>46264</v>
      </c>
      <c r="D342" t="s">
        <v>41</v>
      </c>
      <c r="E342" t="s">
        <v>42</v>
      </c>
      <c r="F342" t="s">
        <v>57</v>
      </c>
      <c r="G342" t="s">
        <v>36</v>
      </c>
      <c r="H342" t="s">
        <v>62</v>
      </c>
      <c r="I342" t="s">
        <v>26</v>
      </c>
      <c r="J342" t="s">
        <v>27</v>
      </c>
      <c r="K342" s="1">
        <v>46278</v>
      </c>
      <c r="L342" t="s">
        <v>28</v>
      </c>
      <c r="M342" t="s">
        <v>37</v>
      </c>
      <c r="O342" t="s">
        <v>38</v>
      </c>
      <c r="Q342">
        <v>14</v>
      </c>
      <c r="T342" t="str">
        <f>IF(RecruitmentTable[[#This Row],[Final Status]]="In process","Screening",IF(RecruitmentTable[[#This Row],[Final Status]]="Selected","Offer","Rejected"))</f>
        <v>Rejected</v>
      </c>
      <c r="U342">
        <f>IF(RecruitmentTable[[#This Row],[Final Status]]="Selected",1,0)</f>
        <v>0</v>
      </c>
    </row>
    <row r="343" spans="1:21" x14ac:dyDescent="0.25">
      <c r="A343" t="s">
        <v>593</v>
      </c>
      <c r="B343" t="s">
        <v>302</v>
      </c>
      <c r="C343" s="1">
        <v>46293</v>
      </c>
      <c r="D343" t="s">
        <v>33</v>
      </c>
      <c r="E343" t="s">
        <v>34</v>
      </c>
      <c r="F343" t="s">
        <v>57</v>
      </c>
      <c r="G343" t="s">
        <v>36</v>
      </c>
      <c r="H343" t="s">
        <v>62</v>
      </c>
      <c r="I343" t="s">
        <v>37</v>
      </c>
      <c r="J343" t="s">
        <v>38</v>
      </c>
      <c r="K343" s="1"/>
      <c r="L343" t="s">
        <v>38</v>
      </c>
      <c r="M343" t="s">
        <v>37</v>
      </c>
      <c r="O343" t="s">
        <v>38</v>
      </c>
      <c r="T343" t="str">
        <f>IF(RecruitmentTable[[#This Row],[Final Status]]="In process","Screening",IF(RecruitmentTable[[#This Row],[Final Status]]="Selected","Offer","Rejected"))</f>
        <v>Rejected</v>
      </c>
      <c r="U343">
        <f>IF(RecruitmentTable[[#This Row],[Final Status]]="Selected",1,0)</f>
        <v>0</v>
      </c>
    </row>
    <row r="344" spans="1:21" x14ac:dyDescent="0.25">
      <c r="A344" t="s">
        <v>594</v>
      </c>
      <c r="B344" t="s">
        <v>502</v>
      </c>
      <c r="C344" s="1">
        <v>46046</v>
      </c>
      <c r="D344" t="s">
        <v>56</v>
      </c>
      <c r="E344" t="s">
        <v>34</v>
      </c>
      <c r="F344" t="s">
        <v>35</v>
      </c>
      <c r="G344" t="s">
        <v>47</v>
      </c>
      <c r="H344" t="s">
        <v>72</v>
      </c>
      <c r="I344" t="s">
        <v>26</v>
      </c>
      <c r="J344" t="s">
        <v>27</v>
      </c>
      <c r="K344" s="1">
        <v>46054</v>
      </c>
      <c r="L344" t="s">
        <v>28</v>
      </c>
      <c r="M344" t="s">
        <v>37</v>
      </c>
      <c r="O344" t="s">
        <v>38</v>
      </c>
      <c r="Q344">
        <v>8</v>
      </c>
      <c r="T344" t="str">
        <f>IF(RecruitmentTable[[#This Row],[Final Status]]="In process","Screening",IF(RecruitmentTable[[#This Row],[Final Status]]="Selected","Offer","Rejected"))</f>
        <v>Rejected</v>
      </c>
      <c r="U344">
        <f>IF(RecruitmentTable[[#This Row],[Final Status]]="Selected",1,0)</f>
        <v>0</v>
      </c>
    </row>
    <row r="345" spans="1:21" x14ac:dyDescent="0.25">
      <c r="A345" t="s">
        <v>595</v>
      </c>
      <c r="B345" t="s">
        <v>596</v>
      </c>
      <c r="C345" s="1">
        <v>46271</v>
      </c>
      <c r="D345" t="s">
        <v>41</v>
      </c>
      <c r="E345" t="s">
        <v>42</v>
      </c>
      <c r="F345" t="s">
        <v>50</v>
      </c>
      <c r="G345" t="s">
        <v>84</v>
      </c>
      <c r="H345" t="s">
        <v>25</v>
      </c>
      <c r="I345" t="s">
        <v>26</v>
      </c>
      <c r="J345" t="s">
        <v>27</v>
      </c>
      <c r="K345" s="1">
        <v>46280</v>
      </c>
      <c r="L345" t="s">
        <v>28</v>
      </c>
      <c r="M345" t="s">
        <v>29</v>
      </c>
      <c r="N345" s="1">
        <v>46284</v>
      </c>
      <c r="O345" t="s">
        <v>227</v>
      </c>
      <c r="Q345">
        <v>9</v>
      </c>
      <c r="R345">
        <v>4</v>
      </c>
      <c r="T345" t="str">
        <f>IF(RecruitmentTable[[#This Row],[Final Status]]="In process","Screening",IF(RecruitmentTable[[#This Row],[Final Status]]="Selected","Offer","Rejected"))</f>
        <v>Offer</v>
      </c>
      <c r="U345">
        <f>IF(RecruitmentTable[[#This Row],[Final Status]]="Selected",1,0)</f>
        <v>1</v>
      </c>
    </row>
    <row r="346" spans="1:21" x14ac:dyDescent="0.25">
      <c r="A346" t="s">
        <v>597</v>
      </c>
      <c r="B346" t="s">
        <v>598</v>
      </c>
      <c r="C346" s="1">
        <v>46191</v>
      </c>
      <c r="D346" t="s">
        <v>21</v>
      </c>
      <c r="E346" t="s">
        <v>22</v>
      </c>
      <c r="F346" t="s">
        <v>43</v>
      </c>
      <c r="G346" t="s">
        <v>84</v>
      </c>
      <c r="H346" t="s">
        <v>25</v>
      </c>
      <c r="I346" t="s">
        <v>37</v>
      </c>
      <c r="J346" t="s">
        <v>38</v>
      </c>
      <c r="K346" s="1"/>
      <c r="L346" t="s">
        <v>38</v>
      </c>
      <c r="M346" t="s">
        <v>37</v>
      </c>
      <c r="O346" t="s">
        <v>38</v>
      </c>
      <c r="T346" t="str">
        <f>IF(RecruitmentTable[[#This Row],[Final Status]]="In process","Screening",IF(RecruitmentTable[[#This Row],[Final Status]]="Selected","Offer","Rejected"))</f>
        <v>Rejected</v>
      </c>
      <c r="U346">
        <f>IF(RecruitmentTable[[#This Row],[Final Status]]="Selected",1,0)</f>
        <v>0</v>
      </c>
    </row>
    <row r="347" spans="1:21" x14ac:dyDescent="0.25">
      <c r="A347" t="s">
        <v>599</v>
      </c>
      <c r="B347" t="s">
        <v>149</v>
      </c>
      <c r="C347" s="1">
        <v>46207</v>
      </c>
      <c r="D347" t="s">
        <v>56</v>
      </c>
      <c r="E347" t="s">
        <v>34</v>
      </c>
      <c r="F347" t="s">
        <v>23</v>
      </c>
      <c r="G347" t="s">
        <v>47</v>
      </c>
      <c r="H347" t="s">
        <v>25</v>
      </c>
      <c r="I347" t="s">
        <v>26</v>
      </c>
      <c r="J347" t="s">
        <v>27</v>
      </c>
      <c r="K347" s="1">
        <v>46217</v>
      </c>
      <c r="L347" t="s">
        <v>28</v>
      </c>
      <c r="M347" t="s">
        <v>37</v>
      </c>
      <c r="O347" t="s">
        <v>38</v>
      </c>
      <c r="Q347">
        <v>10</v>
      </c>
      <c r="T347" t="str">
        <f>IF(RecruitmentTable[[#This Row],[Final Status]]="In process","Screening",IF(RecruitmentTable[[#This Row],[Final Status]]="Selected","Offer","Rejected"))</f>
        <v>Rejected</v>
      </c>
      <c r="U347">
        <f>IF(RecruitmentTable[[#This Row],[Final Status]]="Selected",1,0)</f>
        <v>0</v>
      </c>
    </row>
    <row r="348" spans="1:21" x14ac:dyDescent="0.25">
      <c r="A348" t="s">
        <v>600</v>
      </c>
      <c r="B348" t="s">
        <v>138</v>
      </c>
      <c r="C348" s="1">
        <v>46054</v>
      </c>
      <c r="D348" t="s">
        <v>41</v>
      </c>
      <c r="E348" t="s">
        <v>42</v>
      </c>
      <c r="F348" t="s">
        <v>35</v>
      </c>
      <c r="G348" t="s">
        <v>71</v>
      </c>
      <c r="H348" t="s">
        <v>62</v>
      </c>
      <c r="I348" t="s">
        <v>37</v>
      </c>
      <c r="J348" t="s">
        <v>38</v>
      </c>
      <c r="K348" s="1"/>
      <c r="L348" t="s">
        <v>38</v>
      </c>
      <c r="M348" t="s">
        <v>37</v>
      </c>
      <c r="O348" t="s">
        <v>38</v>
      </c>
      <c r="T348" t="str">
        <f>IF(RecruitmentTable[[#This Row],[Final Status]]="In process","Screening",IF(RecruitmentTable[[#This Row],[Final Status]]="Selected","Offer","Rejected"))</f>
        <v>Rejected</v>
      </c>
      <c r="U348">
        <f>IF(RecruitmentTable[[#This Row],[Final Status]]="Selected",1,0)</f>
        <v>0</v>
      </c>
    </row>
    <row r="349" spans="1:21" x14ac:dyDescent="0.25">
      <c r="A349" t="s">
        <v>601</v>
      </c>
      <c r="B349" t="s">
        <v>20</v>
      </c>
      <c r="C349" s="1">
        <v>46070</v>
      </c>
      <c r="D349" t="s">
        <v>56</v>
      </c>
      <c r="E349" t="s">
        <v>34</v>
      </c>
      <c r="F349" t="s">
        <v>50</v>
      </c>
      <c r="G349" t="s">
        <v>71</v>
      </c>
      <c r="H349" t="s">
        <v>72</v>
      </c>
      <c r="I349" t="s">
        <v>26</v>
      </c>
      <c r="J349" t="s">
        <v>27</v>
      </c>
      <c r="K349" s="1">
        <v>46082</v>
      </c>
      <c r="L349" t="s">
        <v>28</v>
      </c>
      <c r="M349" t="s">
        <v>37</v>
      </c>
      <c r="O349" t="s">
        <v>38</v>
      </c>
      <c r="Q349">
        <v>12</v>
      </c>
      <c r="T349" t="str">
        <f>IF(RecruitmentTable[[#This Row],[Final Status]]="In process","Screening",IF(RecruitmentTable[[#This Row],[Final Status]]="Selected","Offer","Rejected"))</f>
        <v>Rejected</v>
      </c>
      <c r="U349">
        <f>IF(RecruitmentTable[[#This Row],[Final Status]]="Selected",1,0)</f>
        <v>0</v>
      </c>
    </row>
    <row r="350" spans="1:21" x14ac:dyDescent="0.25">
      <c r="A350" t="s">
        <v>602</v>
      </c>
      <c r="B350" t="s">
        <v>569</v>
      </c>
      <c r="C350" s="1">
        <v>46293</v>
      </c>
      <c r="D350" t="s">
        <v>21</v>
      </c>
      <c r="E350" t="s">
        <v>22</v>
      </c>
      <c r="F350" t="s">
        <v>100</v>
      </c>
      <c r="G350" t="s">
        <v>36</v>
      </c>
      <c r="H350" t="s">
        <v>51</v>
      </c>
      <c r="I350" t="s">
        <v>37</v>
      </c>
      <c r="J350" t="s">
        <v>38</v>
      </c>
      <c r="K350" s="1"/>
      <c r="L350" t="s">
        <v>38</v>
      </c>
      <c r="M350" t="s">
        <v>37</v>
      </c>
      <c r="O350" t="s">
        <v>38</v>
      </c>
      <c r="T350" t="str">
        <f>IF(RecruitmentTable[[#This Row],[Final Status]]="In process","Screening",IF(RecruitmentTable[[#This Row],[Final Status]]="Selected","Offer","Rejected"))</f>
        <v>Rejected</v>
      </c>
      <c r="U350">
        <f>IF(RecruitmentTable[[#This Row],[Final Status]]="Selected",1,0)</f>
        <v>0</v>
      </c>
    </row>
    <row r="351" spans="1:21" x14ac:dyDescent="0.25">
      <c r="A351" t="s">
        <v>603</v>
      </c>
      <c r="B351" t="s">
        <v>68</v>
      </c>
      <c r="C351" s="1">
        <v>46273</v>
      </c>
      <c r="D351" t="s">
        <v>41</v>
      </c>
      <c r="E351" t="s">
        <v>42</v>
      </c>
      <c r="F351" t="s">
        <v>57</v>
      </c>
      <c r="G351" t="s">
        <v>24</v>
      </c>
      <c r="H351" t="s">
        <v>44</v>
      </c>
      <c r="I351" t="s">
        <v>37</v>
      </c>
      <c r="J351" t="s">
        <v>38</v>
      </c>
      <c r="K351" s="1"/>
      <c r="L351" t="s">
        <v>38</v>
      </c>
      <c r="M351" t="s">
        <v>37</v>
      </c>
      <c r="O351" t="s">
        <v>38</v>
      </c>
      <c r="T351" t="str">
        <f>IF(RecruitmentTable[[#This Row],[Final Status]]="In process","Screening",IF(RecruitmentTable[[#This Row],[Final Status]]="Selected","Offer","Rejected"))</f>
        <v>Rejected</v>
      </c>
      <c r="U351">
        <f>IF(RecruitmentTable[[#This Row],[Final Status]]="Selected",1,0)</f>
        <v>0</v>
      </c>
    </row>
    <row r="352" spans="1:21" x14ac:dyDescent="0.25">
      <c r="A352" t="s">
        <v>604</v>
      </c>
      <c r="B352" t="s">
        <v>605</v>
      </c>
      <c r="C352" s="1">
        <v>46085</v>
      </c>
      <c r="D352" t="s">
        <v>21</v>
      </c>
      <c r="E352" t="s">
        <v>22</v>
      </c>
      <c r="F352" t="s">
        <v>43</v>
      </c>
      <c r="G352" t="s">
        <v>71</v>
      </c>
      <c r="H352" t="s">
        <v>72</v>
      </c>
      <c r="I352" t="s">
        <v>26</v>
      </c>
      <c r="J352" t="s">
        <v>27</v>
      </c>
      <c r="K352" s="1">
        <v>46092</v>
      </c>
      <c r="L352" t="s">
        <v>28</v>
      </c>
      <c r="M352" t="s">
        <v>37</v>
      </c>
      <c r="O352" t="s">
        <v>38</v>
      </c>
      <c r="Q352">
        <v>7</v>
      </c>
      <c r="T352" t="str">
        <f>IF(RecruitmentTable[[#This Row],[Final Status]]="In process","Screening",IF(RecruitmentTable[[#This Row],[Final Status]]="Selected","Offer","Rejected"))</f>
        <v>Rejected</v>
      </c>
      <c r="U352">
        <f>IF(RecruitmentTable[[#This Row],[Final Status]]="Selected",1,0)</f>
        <v>0</v>
      </c>
    </row>
    <row r="353" spans="1:21" x14ac:dyDescent="0.25">
      <c r="A353" t="s">
        <v>606</v>
      </c>
      <c r="B353" t="s">
        <v>401</v>
      </c>
      <c r="C353" s="1">
        <v>46065</v>
      </c>
      <c r="D353" t="s">
        <v>21</v>
      </c>
      <c r="E353" t="s">
        <v>22</v>
      </c>
      <c r="F353" t="s">
        <v>50</v>
      </c>
      <c r="G353" t="s">
        <v>24</v>
      </c>
      <c r="H353" t="s">
        <v>51</v>
      </c>
      <c r="I353" t="s">
        <v>26</v>
      </c>
      <c r="J353" t="s">
        <v>27</v>
      </c>
      <c r="K353" s="1">
        <v>46071</v>
      </c>
      <c r="L353" t="s">
        <v>28</v>
      </c>
      <c r="M353" t="s">
        <v>37</v>
      </c>
      <c r="O353" t="s">
        <v>38</v>
      </c>
      <c r="Q353">
        <v>6</v>
      </c>
      <c r="T353" t="str">
        <f>IF(RecruitmentTable[[#This Row],[Final Status]]="In process","Screening",IF(RecruitmentTable[[#This Row],[Final Status]]="Selected","Offer","Rejected"))</f>
        <v>Rejected</v>
      </c>
      <c r="U353">
        <f>IF(RecruitmentTable[[#This Row],[Final Status]]="Selected",1,0)</f>
        <v>0</v>
      </c>
    </row>
    <row r="354" spans="1:21" x14ac:dyDescent="0.25">
      <c r="A354" t="s">
        <v>607</v>
      </c>
      <c r="B354" t="s">
        <v>465</v>
      </c>
      <c r="C354" s="1">
        <v>46190</v>
      </c>
      <c r="D354" t="s">
        <v>41</v>
      </c>
      <c r="E354" t="s">
        <v>42</v>
      </c>
      <c r="F354" t="s">
        <v>50</v>
      </c>
      <c r="G354" t="s">
        <v>36</v>
      </c>
      <c r="H354" t="s">
        <v>25</v>
      </c>
      <c r="I354" t="s">
        <v>37</v>
      </c>
      <c r="J354" t="s">
        <v>38</v>
      </c>
      <c r="K354" s="1"/>
      <c r="L354" t="s">
        <v>38</v>
      </c>
      <c r="M354" t="s">
        <v>37</v>
      </c>
      <c r="O354" t="s">
        <v>38</v>
      </c>
      <c r="T354" t="str">
        <f>IF(RecruitmentTable[[#This Row],[Final Status]]="In process","Screening",IF(RecruitmentTable[[#This Row],[Final Status]]="Selected","Offer","Rejected"))</f>
        <v>Rejected</v>
      </c>
      <c r="U354">
        <f>IF(RecruitmentTable[[#This Row],[Final Status]]="Selected",1,0)</f>
        <v>0</v>
      </c>
    </row>
    <row r="355" spans="1:21" x14ac:dyDescent="0.25">
      <c r="A355" t="s">
        <v>608</v>
      </c>
      <c r="B355" t="s">
        <v>20</v>
      </c>
      <c r="C355" s="1">
        <v>46226</v>
      </c>
      <c r="D355" t="s">
        <v>56</v>
      </c>
      <c r="E355" t="s">
        <v>34</v>
      </c>
      <c r="F355" t="s">
        <v>23</v>
      </c>
      <c r="G355" t="s">
        <v>47</v>
      </c>
      <c r="H355" t="s">
        <v>44</v>
      </c>
      <c r="I355" t="s">
        <v>37</v>
      </c>
      <c r="J355" t="s">
        <v>38</v>
      </c>
      <c r="K355" s="1"/>
      <c r="L355" t="s">
        <v>38</v>
      </c>
      <c r="M355" t="s">
        <v>37</v>
      </c>
      <c r="O355" t="s">
        <v>38</v>
      </c>
      <c r="T355" t="str">
        <f>IF(RecruitmentTable[[#This Row],[Final Status]]="In process","Screening",IF(RecruitmentTable[[#This Row],[Final Status]]="Selected","Offer","Rejected"))</f>
        <v>Rejected</v>
      </c>
      <c r="U355">
        <f>IF(RecruitmentTable[[#This Row],[Final Status]]="Selected",1,0)</f>
        <v>0</v>
      </c>
    </row>
    <row r="356" spans="1:21" x14ac:dyDescent="0.25">
      <c r="A356" t="s">
        <v>609</v>
      </c>
      <c r="B356" t="s">
        <v>181</v>
      </c>
      <c r="C356" s="1">
        <v>46044</v>
      </c>
      <c r="D356" t="s">
        <v>65</v>
      </c>
      <c r="E356" t="s">
        <v>42</v>
      </c>
      <c r="F356" t="s">
        <v>57</v>
      </c>
      <c r="G356" t="s">
        <v>47</v>
      </c>
      <c r="H356" t="s">
        <v>62</v>
      </c>
      <c r="I356" t="s">
        <v>37</v>
      </c>
      <c r="J356" t="s">
        <v>38</v>
      </c>
      <c r="K356" s="1"/>
      <c r="L356" t="s">
        <v>38</v>
      </c>
      <c r="M356" t="s">
        <v>37</v>
      </c>
      <c r="O356" t="s">
        <v>38</v>
      </c>
      <c r="T356" t="str">
        <f>IF(RecruitmentTable[[#This Row],[Final Status]]="In process","Screening",IF(RecruitmentTable[[#This Row],[Final Status]]="Selected","Offer","Rejected"))</f>
        <v>Rejected</v>
      </c>
      <c r="U356">
        <f>IF(RecruitmentTable[[#This Row],[Final Status]]="Selected",1,0)</f>
        <v>0</v>
      </c>
    </row>
    <row r="357" spans="1:21" x14ac:dyDescent="0.25">
      <c r="A357" t="s">
        <v>610</v>
      </c>
      <c r="B357" t="s">
        <v>558</v>
      </c>
      <c r="C357" s="1">
        <v>46232</v>
      </c>
      <c r="D357" t="s">
        <v>56</v>
      </c>
      <c r="E357" t="s">
        <v>34</v>
      </c>
      <c r="F357" t="s">
        <v>57</v>
      </c>
      <c r="G357" t="s">
        <v>24</v>
      </c>
      <c r="H357" t="s">
        <v>44</v>
      </c>
      <c r="I357" t="s">
        <v>26</v>
      </c>
      <c r="J357" t="s">
        <v>27</v>
      </c>
      <c r="K357" s="1">
        <v>46236</v>
      </c>
      <c r="L357" t="s">
        <v>28</v>
      </c>
      <c r="M357" t="s">
        <v>37</v>
      </c>
      <c r="O357" t="s">
        <v>38</v>
      </c>
      <c r="Q357">
        <v>4</v>
      </c>
      <c r="T357" t="str">
        <f>IF(RecruitmentTable[[#This Row],[Final Status]]="In process","Screening",IF(RecruitmentTable[[#This Row],[Final Status]]="Selected","Offer","Rejected"))</f>
        <v>Rejected</v>
      </c>
      <c r="U357">
        <f>IF(RecruitmentTable[[#This Row],[Final Status]]="Selected",1,0)</f>
        <v>0</v>
      </c>
    </row>
    <row r="358" spans="1:21" x14ac:dyDescent="0.25">
      <c r="A358" t="s">
        <v>611</v>
      </c>
      <c r="B358" t="s">
        <v>284</v>
      </c>
      <c r="C358" s="1">
        <v>46027</v>
      </c>
      <c r="D358" t="s">
        <v>21</v>
      </c>
      <c r="E358" t="s">
        <v>22</v>
      </c>
      <c r="F358" t="s">
        <v>57</v>
      </c>
      <c r="G358" t="s">
        <v>84</v>
      </c>
      <c r="H358" t="s">
        <v>62</v>
      </c>
      <c r="I358" t="s">
        <v>26</v>
      </c>
      <c r="J358" t="s">
        <v>27</v>
      </c>
      <c r="K358" s="1">
        <v>46036</v>
      </c>
      <c r="L358" t="s">
        <v>28</v>
      </c>
      <c r="M358" t="s">
        <v>37</v>
      </c>
      <c r="O358" t="s">
        <v>38</v>
      </c>
      <c r="Q358">
        <v>9</v>
      </c>
      <c r="T358" t="str">
        <f>IF(RecruitmentTable[[#This Row],[Final Status]]="In process","Screening",IF(RecruitmentTable[[#This Row],[Final Status]]="Selected","Offer","Rejected"))</f>
        <v>Rejected</v>
      </c>
      <c r="U358">
        <f>IF(RecruitmentTable[[#This Row],[Final Status]]="Selected",1,0)</f>
        <v>0</v>
      </c>
    </row>
    <row r="359" spans="1:21" x14ac:dyDescent="0.25">
      <c r="A359" t="s">
        <v>612</v>
      </c>
      <c r="B359" t="s">
        <v>449</v>
      </c>
      <c r="C359" s="1">
        <v>46069</v>
      </c>
      <c r="D359" t="s">
        <v>83</v>
      </c>
      <c r="E359" t="s">
        <v>34</v>
      </c>
      <c r="F359" t="s">
        <v>23</v>
      </c>
      <c r="G359" t="s">
        <v>66</v>
      </c>
      <c r="H359" t="s">
        <v>62</v>
      </c>
      <c r="I359" t="s">
        <v>37</v>
      </c>
      <c r="J359" t="s">
        <v>38</v>
      </c>
      <c r="K359" s="1"/>
      <c r="L359" t="s">
        <v>38</v>
      </c>
      <c r="M359" t="s">
        <v>37</v>
      </c>
      <c r="O359" t="s">
        <v>38</v>
      </c>
      <c r="T359" t="str">
        <f>IF(RecruitmentTable[[#This Row],[Final Status]]="In process","Screening",IF(RecruitmentTable[[#This Row],[Final Status]]="Selected","Offer","Rejected"))</f>
        <v>Rejected</v>
      </c>
      <c r="U359">
        <f>IF(RecruitmentTable[[#This Row],[Final Status]]="Selected",1,0)</f>
        <v>0</v>
      </c>
    </row>
    <row r="360" spans="1:21" x14ac:dyDescent="0.25">
      <c r="A360" t="s">
        <v>613</v>
      </c>
      <c r="B360" t="s">
        <v>103</v>
      </c>
      <c r="C360" s="1">
        <v>46224</v>
      </c>
      <c r="D360" t="s">
        <v>33</v>
      </c>
      <c r="E360" t="s">
        <v>34</v>
      </c>
      <c r="F360" t="s">
        <v>35</v>
      </c>
      <c r="G360" t="s">
        <v>24</v>
      </c>
      <c r="H360" t="s">
        <v>51</v>
      </c>
      <c r="I360" t="s">
        <v>26</v>
      </c>
      <c r="J360" t="s">
        <v>38</v>
      </c>
      <c r="K360" s="1"/>
      <c r="L360" t="s">
        <v>58</v>
      </c>
      <c r="M360" t="s">
        <v>59</v>
      </c>
      <c r="O360" t="s">
        <v>38</v>
      </c>
      <c r="T360" t="str">
        <f>IF(RecruitmentTable[[#This Row],[Final Status]]="In process","Screening",IF(RecruitmentTable[[#This Row],[Final Status]]="Selected","Offer","Rejected"))</f>
        <v>Screening</v>
      </c>
      <c r="U360">
        <f>IF(RecruitmentTable[[#This Row],[Final Status]]="Selected",1,0)</f>
        <v>0</v>
      </c>
    </row>
    <row r="361" spans="1:21" x14ac:dyDescent="0.25">
      <c r="A361" t="s">
        <v>614</v>
      </c>
      <c r="B361" t="s">
        <v>615</v>
      </c>
      <c r="C361" s="1">
        <v>46191</v>
      </c>
      <c r="D361" t="s">
        <v>21</v>
      </c>
      <c r="E361" t="s">
        <v>22</v>
      </c>
      <c r="F361" t="s">
        <v>43</v>
      </c>
      <c r="G361" t="s">
        <v>71</v>
      </c>
      <c r="H361" t="s">
        <v>62</v>
      </c>
      <c r="I361" t="s">
        <v>26</v>
      </c>
      <c r="J361" t="s">
        <v>27</v>
      </c>
      <c r="K361" s="1">
        <v>46196</v>
      </c>
      <c r="L361" t="s">
        <v>28</v>
      </c>
      <c r="M361" t="s">
        <v>37</v>
      </c>
      <c r="O361" t="s">
        <v>38</v>
      </c>
      <c r="Q361">
        <v>5</v>
      </c>
      <c r="T361" t="str">
        <f>IF(RecruitmentTable[[#This Row],[Final Status]]="In process","Screening",IF(RecruitmentTable[[#This Row],[Final Status]]="Selected","Offer","Rejected"))</f>
        <v>Rejected</v>
      </c>
      <c r="U361">
        <f>IF(RecruitmentTable[[#This Row],[Final Status]]="Selected",1,0)</f>
        <v>0</v>
      </c>
    </row>
    <row r="362" spans="1:21" x14ac:dyDescent="0.25">
      <c r="A362" t="s">
        <v>616</v>
      </c>
      <c r="B362" t="s">
        <v>327</v>
      </c>
      <c r="C362" s="1">
        <v>46146</v>
      </c>
      <c r="D362" t="s">
        <v>65</v>
      </c>
      <c r="E362" t="s">
        <v>42</v>
      </c>
      <c r="F362" t="s">
        <v>57</v>
      </c>
      <c r="G362" t="s">
        <v>71</v>
      </c>
      <c r="H362" t="s">
        <v>62</v>
      </c>
      <c r="I362" t="s">
        <v>26</v>
      </c>
      <c r="J362" t="s">
        <v>38</v>
      </c>
      <c r="K362" s="1"/>
      <c r="L362" t="s">
        <v>58</v>
      </c>
      <c r="M362" t="s">
        <v>59</v>
      </c>
      <c r="O362" t="s">
        <v>38</v>
      </c>
      <c r="T362" t="str">
        <f>IF(RecruitmentTable[[#This Row],[Final Status]]="In process","Screening",IF(RecruitmentTable[[#This Row],[Final Status]]="Selected","Offer","Rejected"))</f>
        <v>Screening</v>
      </c>
      <c r="U362">
        <f>IF(RecruitmentTable[[#This Row],[Final Status]]="Selected",1,0)</f>
        <v>0</v>
      </c>
    </row>
    <row r="363" spans="1:21" x14ac:dyDescent="0.25">
      <c r="A363" t="s">
        <v>617</v>
      </c>
      <c r="B363" t="s">
        <v>173</v>
      </c>
      <c r="C363" s="1">
        <v>46170</v>
      </c>
      <c r="D363" t="s">
        <v>65</v>
      </c>
      <c r="E363" t="s">
        <v>42</v>
      </c>
      <c r="F363" t="s">
        <v>50</v>
      </c>
      <c r="G363" t="s">
        <v>36</v>
      </c>
      <c r="H363" t="s">
        <v>25</v>
      </c>
      <c r="I363" t="s">
        <v>26</v>
      </c>
      <c r="J363" t="s">
        <v>38</v>
      </c>
      <c r="K363" s="1"/>
      <c r="L363" t="s">
        <v>58</v>
      </c>
      <c r="M363" t="s">
        <v>59</v>
      </c>
      <c r="O363" t="s">
        <v>38</v>
      </c>
      <c r="T363" t="str">
        <f>IF(RecruitmentTable[[#This Row],[Final Status]]="In process","Screening",IF(RecruitmentTable[[#This Row],[Final Status]]="Selected","Offer","Rejected"))</f>
        <v>Screening</v>
      </c>
      <c r="U363">
        <f>IF(RecruitmentTable[[#This Row],[Final Status]]="Selected",1,0)</f>
        <v>0</v>
      </c>
    </row>
    <row r="364" spans="1:21" x14ac:dyDescent="0.25">
      <c r="A364" t="s">
        <v>618</v>
      </c>
      <c r="B364" t="s">
        <v>619</v>
      </c>
      <c r="C364" s="1">
        <v>46288</v>
      </c>
      <c r="D364" t="s">
        <v>83</v>
      </c>
      <c r="E364" t="s">
        <v>34</v>
      </c>
      <c r="F364" t="s">
        <v>35</v>
      </c>
      <c r="G364" t="s">
        <v>71</v>
      </c>
      <c r="H364" t="s">
        <v>62</v>
      </c>
      <c r="I364" t="s">
        <v>26</v>
      </c>
      <c r="J364" t="s">
        <v>27</v>
      </c>
      <c r="K364" s="1">
        <v>46292</v>
      </c>
      <c r="L364" t="s">
        <v>28</v>
      </c>
      <c r="M364" t="s">
        <v>37</v>
      </c>
      <c r="O364" t="s">
        <v>38</v>
      </c>
      <c r="Q364">
        <v>4</v>
      </c>
      <c r="T364" t="str">
        <f>IF(RecruitmentTable[[#This Row],[Final Status]]="In process","Screening",IF(RecruitmentTable[[#This Row],[Final Status]]="Selected","Offer","Rejected"))</f>
        <v>Rejected</v>
      </c>
      <c r="U364">
        <f>IF(RecruitmentTable[[#This Row],[Final Status]]="Selected",1,0)</f>
        <v>0</v>
      </c>
    </row>
    <row r="365" spans="1:21" x14ac:dyDescent="0.25">
      <c r="A365" t="s">
        <v>620</v>
      </c>
      <c r="B365" t="s">
        <v>621</v>
      </c>
      <c r="C365" s="1">
        <v>46288</v>
      </c>
      <c r="D365" t="s">
        <v>65</v>
      </c>
      <c r="E365" t="s">
        <v>42</v>
      </c>
      <c r="F365" t="s">
        <v>100</v>
      </c>
      <c r="G365" t="s">
        <v>24</v>
      </c>
      <c r="H365" t="s">
        <v>25</v>
      </c>
      <c r="I365" t="s">
        <v>26</v>
      </c>
      <c r="J365" t="s">
        <v>27</v>
      </c>
      <c r="K365" s="1">
        <v>46300</v>
      </c>
      <c r="L365" t="s">
        <v>28</v>
      </c>
      <c r="M365" t="s">
        <v>37</v>
      </c>
      <c r="O365" t="s">
        <v>38</v>
      </c>
      <c r="Q365">
        <v>12</v>
      </c>
      <c r="T365" t="str">
        <f>IF(RecruitmentTable[[#This Row],[Final Status]]="In process","Screening",IF(RecruitmentTable[[#This Row],[Final Status]]="Selected","Offer","Rejected"))</f>
        <v>Rejected</v>
      </c>
      <c r="U365">
        <f>IF(RecruitmentTable[[#This Row],[Final Status]]="Selected",1,0)</f>
        <v>0</v>
      </c>
    </row>
    <row r="366" spans="1:21" x14ac:dyDescent="0.25">
      <c r="A366" t="s">
        <v>622</v>
      </c>
      <c r="B366" t="s">
        <v>456</v>
      </c>
      <c r="C366" s="1">
        <v>46090</v>
      </c>
      <c r="D366" t="s">
        <v>33</v>
      </c>
      <c r="E366" t="s">
        <v>34</v>
      </c>
      <c r="F366" t="s">
        <v>100</v>
      </c>
      <c r="G366" t="s">
        <v>36</v>
      </c>
      <c r="H366" t="s">
        <v>51</v>
      </c>
      <c r="I366" t="s">
        <v>26</v>
      </c>
      <c r="J366" t="s">
        <v>38</v>
      </c>
      <c r="K366" s="1"/>
      <c r="L366" t="s">
        <v>58</v>
      </c>
      <c r="M366" t="s">
        <v>59</v>
      </c>
      <c r="O366" t="s">
        <v>38</v>
      </c>
      <c r="T366" t="str">
        <f>IF(RecruitmentTable[[#This Row],[Final Status]]="In process","Screening",IF(RecruitmentTable[[#This Row],[Final Status]]="Selected","Offer","Rejected"))</f>
        <v>Screening</v>
      </c>
      <c r="U366">
        <f>IF(RecruitmentTable[[#This Row],[Final Status]]="Selected",1,0)</f>
        <v>0</v>
      </c>
    </row>
    <row r="367" spans="1:21" x14ac:dyDescent="0.25">
      <c r="A367" t="s">
        <v>623</v>
      </c>
      <c r="B367" t="s">
        <v>343</v>
      </c>
      <c r="C367" s="1">
        <v>46198</v>
      </c>
      <c r="D367" t="s">
        <v>65</v>
      </c>
      <c r="E367" t="s">
        <v>42</v>
      </c>
      <c r="F367" t="s">
        <v>50</v>
      </c>
      <c r="G367" t="s">
        <v>36</v>
      </c>
      <c r="H367" t="s">
        <v>51</v>
      </c>
      <c r="I367" t="s">
        <v>26</v>
      </c>
      <c r="J367" t="s">
        <v>38</v>
      </c>
      <c r="K367" s="1"/>
      <c r="L367" t="s">
        <v>58</v>
      </c>
      <c r="M367" t="s">
        <v>59</v>
      </c>
      <c r="O367" t="s">
        <v>38</v>
      </c>
      <c r="T367" t="str">
        <f>IF(RecruitmentTable[[#This Row],[Final Status]]="In process","Screening",IF(RecruitmentTable[[#This Row],[Final Status]]="Selected","Offer","Rejected"))</f>
        <v>Screening</v>
      </c>
      <c r="U367">
        <f>IF(RecruitmentTable[[#This Row],[Final Status]]="Selected",1,0)</f>
        <v>0</v>
      </c>
    </row>
    <row r="368" spans="1:21" x14ac:dyDescent="0.25">
      <c r="A368" t="s">
        <v>624</v>
      </c>
      <c r="B368" t="s">
        <v>374</v>
      </c>
      <c r="C368" s="1">
        <v>46154</v>
      </c>
      <c r="D368" t="s">
        <v>83</v>
      </c>
      <c r="E368" t="s">
        <v>34</v>
      </c>
      <c r="F368" t="s">
        <v>57</v>
      </c>
      <c r="G368" t="s">
        <v>71</v>
      </c>
      <c r="H368" t="s">
        <v>44</v>
      </c>
      <c r="I368" t="s">
        <v>37</v>
      </c>
      <c r="J368" t="s">
        <v>38</v>
      </c>
      <c r="K368" s="1"/>
      <c r="L368" t="s">
        <v>38</v>
      </c>
      <c r="M368" t="s">
        <v>37</v>
      </c>
      <c r="O368" t="s">
        <v>38</v>
      </c>
      <c r="T368" t="str">
        <f>IF(RecruitmentTable[[#This Row],[Final Status]]="In process","Screening",IF(RecruitmentTable[[#This Row],[Final Status]]="Selected","Offer","Rejected"))</f>
        <v>Rejected</v>
      </c>
      <c r="U368">
        <f>IF(RecruitmentTable[[#This Row],[Final Status]]="Selected",1,0)</f>
        <v>0</v>
      </c>
    </row>
    <row r="369" spans="1:21" x14ac:dyDescent="0.25">
      <c r="A369" t="s">
        <v>625</v>
      </c>
      <c r="B369" t="s">
        <v>626</v>
      </c>
      <c r="C369" s="1">
        <v>46234</v>
      </c>
      <c r="D369" t="s">
        <v>41</v>
      </c>
      <c r="E369" t="s">
        <v>42</v>
      </c>
      <c r="F369" t="s">
        <v>23</v>
      </c>
      <c r="G369" t="s">
        <v>36</v>
      </c>
      <c r="H369" t="s">
        <v>44</v>
      </c>
      <c r="I369" t="s">
        <v>26</v>
      </c>
      <c r="J369" t="s">
        <v>27</v>
      </c>
      <c r="K369" s="1">
        <v>46245</v>
      </c>
      <c r="L369" t="s">
        <v>28</v>
      </c>
      <c r="M369" t="s">
        <v>29</v>
      </c>
      <c r="N369" s="1">
        <v>46249</v>
      </c>
      <c r="O369" t="s">
        <v>30</v>
      </c>
      <c r="P369" s="1">
        <v>46276</v>
      </c>
      <c r="Q369">
        <v>11</v>
      </c>
      <c r="R369">
        <v>4</v>
      </c>
      <c r="S369">
        <v>27</v>
      </c>
      <c r="T369" t="str">
        <f>IF(RecruitmentTable[[#This Row],[Final Status]]="In process","Screening",IF(RecruitmentTable[[#This Row],[Final Status]]="Selected","Offer","Rejected"))</f>
        <v>Offer</v>
      </c>
      <c r="U369">
        <f>IF(RecruitmentTable[[#This Row],[Final Status]]="Selected",1,0)</f>
        <v>1</v>
      </c>
    </row>
    <row r="370" spans="1:21" x14ac:dyDescent="0.25">
      <c r="A370" t="s">
        <v>627</v>
      </c>
      <c r="B370" t="s">
        <v>90</v>
      </c>
      <c r="C370" s="1">
        <v>46183</v>
      </c>
      <c r="D370" t="s">
        <v>65</v>
      </c>
      <c r="E370" t="s">
        <v>42</v>
      </c>
      <c r="F370" t="s">
        <v>100</v>
      </c>
      <c r="G370" t="s">
        <v>24</v>
      </c>
      <c r="H370" t="s">
        <v>51</v>
      </c>
      <c r="I370" t="s">
        <v>37</v>
      </c>
      <c r="J370" t="s">
        <v>38</v>
      </c>
      <c r="K370" s="1"/>
      <c r="L370" t="s">
        <v>38</v>
      </c>
      <c r="M370" t="s">
        <v>37</v>
      </c>
      <c r="O370" t="s">
        <v>38</v>
      </c>
      <c r="T370" t="str">
        <f>IF(RecruitmentTable[[#This Row],[Final Status]]="In process","Screening",IF(RecruitmentTable[[#This Row],[Final Status]]="Selected","Offer","Rejected"))</f>
        <v>Rejected</v>
      </c>
      <c r="U370">
        <f>IF(RecruitmentTable[[#This Row],[Final Status]]="Selected",1,0)</f>
        <v>0</v>
      </c>
    </row>
    <row r="371" spans="1:21" x14ac:dyDescent="0.25">
      <c r="A371" t="s">
        <v>628</v>
      </c>
      <c r="B371" t="s">
        <v>629</v>
      </c>
      <c r="C371" s="1">
        <v>46099</v>
      </c>
      <c r="D371" t="s">
        <v>21</v>
      </c>
      <c r="E371" t="s">
        <v>22</v>
      </c>
      <c r="F371" t="s">
        <v>35</v>
      </c>
      <c r="G371" t="s">
        <v>84</v>
      </c>
      <c r="H371" t="s">
        <v>62</v>
      </c>
      <c r="I371" t="s">
        <v>26</v>
      </c>
      <c r="J371" t="s">
        <v>27</v>
      </c>
      <c r="K371" s="1">
        <v>46111</v>
      </c>
      <c r="L371" t="s">
        <v>28</v>
      </c>
      <c r="M371" t="s">
        <v>37</v>
      </c>
      <c r="O371" t="s">
        <v>38</v>
      </c>
      <c r="Q371">
        <v>12</v>
      </c>
      <c r="T371" t="str">
        <f>IF(RecruitmentTable[[#This Row],[Final Status]]="In process","Screening",IF(RecruitmentTable[[#This Row],[Final Status]]="Selected","Offer","Rejected"))</f>
        <v>Rejected</v>
      </c>
      <c r="U371">
        <f>IF(RecruitmentTable[[#This Row],[Final Status]]="Selected",1,0)</f>
        <v>0</v>
      </c>
    </row>
    <row r="372" spans="1:21" x14ac:dyDescent="0.25">
      <c r="A372" t="s">
        <v>630</v>
      </c>
      <c r="B372" t="s">
        <v>143</v>
      </c>
      <c r="C372" s="1">
        <v>46204</v>
      </c>
      <c r="D372" t="s">
        <v>33</v>
      </c>
      <c r="E372" t="s">
        <v>34</v>
      </c>
      <c r="F372" t="s">
        <v>23</v>
      </c>
      <c r="G372" t="s">
        <v>24</v>
      </c>
      <c r="H372" t="s">
        <v>51</v>
      </c>
      <c r="I372" t="s">
        <v>37</v>
      </c>
      <c r="J372" t="s">
        <v>38</v>
      </c>
      <c r="K372" s="1"/>
      <c r="L372" t="s">
        <v>38</v>
      </c>
      <c r="M372" t="s">
        <v>37</v>
      </c>
      <c r="O372" t="s">
        <v>38</v>
      </c>
      <c r="T372" t="str">
        <f>IF(RecruitmentTable[[#This Row],[Final Status]]="In process","Screening",IF(RecruitmentTable[[#This Row],[Final Status]]="Selected","Offer","Rejected"))</f>
        <v>Rejected</v>
      </c>
      <c r="U372">
        <f>IF(RecruitmentTable[[#This Row],[Final Status]]="Selected",1,0)</f>
        <v>0</v>
      </c>
    </row>
    <row r="373" spans="1:21" x14ac:dyDescent="0.25">
      <c r="A373" t="s">
        <v>631</v>
      </c>
      <c r="B373" t="s">
        <v>246</v>
      </c>
      <c r="C373" s="1">
        <v>46210</v>
      </c>
      <c r="D373" t="s">
        <v>21</v>
      </c>
      <c r="E373" t="s">
        <v>22</v>
      </c>
      <c r="F373" t="s">
        <v>35</v>
      </c>
      <c r="G373" t="s">
        <v>36</v>
      </c>
      <c r="H373" t="s">
        <v>62</v>
      </c>
      <c r="I373" t="s">
        <v>37</v>
      </c>
      <c r="J373" t="s">
        <v>38</v>
      </c>
      <c r="K373" s="1"/>
      <c r="L373" t="s">
        <v>38</v>
      </c>
      <c r="M373" t="s">
        <v>37</v>
      </c>
      <c r="O373" t="s">
        <v>38</v>
      </c>
      <c r="T373" t="str">
        <f>IF(RecruitmentTable[[#This Row],[Final Status]]="In process","Screening",IF(RecruitmentTable[[#This Row],[Final Status]]="Selected","Offer","Rejected"))</f>
        <v>Rejected</v>
      </c>
      <c r="U373">
        <f>IF(RecruitmentTable[[#This Row],[Final Status]]="Selected",1,0)</f>
        <v>0</v>
      </c>
    </row>
    <row r="374" spans="1:21" x14ac:dyDescent="0.25">
      <c r="A374" t="s">
        <v>632</v>
      </c>
      <c r="B374" t="s">
        <v>74</v>
      </c>
      <c r="C374" s="1">
        <v>46085</v>
      </c>
      <c r="D374" t="s">
        <v>56</v>
      </c>
      <c r="E374" t="s">
        <v>34</v>
      </c>
      <c r="F374" t="s">
        <v>57</v>
      </c>
      <c r="G374" t="s">
        <v>84</v>
      </c>
      <c r="H374" t="s">
        <v>44</v>
      </c>
      <c r="I374" t="s">
        <v>37</v>
      </c>
      <c r="J374" t="s">
        <v>38</v>
      </c>
      <c r="K374" s="1"/>
      <c r="L374" t="s">
        <v>38</v>
      </c>
      <c r="M374" t="s">
        <v>37</v>
      </c>
      <c r="O374" t="s">
        <v>38</v>
      </c>
      <c r="T374" t="str">
        <f>IF(RecruitmentTable[[#This Row],[Final Status]]="In process","Screening",IF(RecruitmentTable[[#This Row],[Final Status]]="Selected","Offer","Rejected"))</f>
        <v>Rejected</v>
      </c>
      <c r="U374">
        <f>IF(RecruitmentTable[[#This Row],[Final Status]]="Selected",1,0)</f>
        <v>0</v>
      </c>
    </row>
    <row r="375" spans="1:21" x14ac:dyDescent="0.25">
      <c r="A375" t="s">
        <v>633</v>
      </c>
      <c r="B375" t="s">
        <v>294</v>
      </c>
      <c r="C375" s="1">
        <v>46110</v>
      </c>
      <c r="D375" t="s">
        <v>33</v>
      </c>
      <c r="E375" t="s">
        <v>34</v>
      </c>
      <c r="F375" t="s">
        <v>23</v>
      </c>
      <c r="G375" t="s">
        <v>24</v>
      </c>
      <c r="H375" t="s">
        <v>51</v>
      </c>
      <c r="I375" t="s">
        <v>26</v>
      </c>
      <c r="J375" t="s">
        <v>38</v>
      </c>
      <c r="K375" s="1"/>
      <c r="L375" t="s">
        <v>58</v>
      </c>
      <c r="M375" t="s">
        <v>59</v>
      </c>
      <c r="O375" t="s">
        <v>38</v>
      </c>
      <c r="T375" t="str">
        <f>IF(RecruitmentTable[[#This Row],[Final Status]]="In process","Screening",IF(RecruitmentTable[[#This Row],[Final Status]]="Selected","Offer","Rejected"))</f>
        <v>Screening</v>
      </c>
      <c r="U375">
        <f>IF(RecruitmentTable[[#This Row],[Final Status]]="Selected",1,0)</f>
        <v>0</v>
      </c>
    </row>
    <row r="376" spans="1:21" x14ac:dyDescent="0.25">
      <c r="A376" t="s">
        <v>634</v>
      </c>
      <c r="B376" t="s">
        <v>635</v>
      </c>
      <c r="C376" s="1">
        <v>46155</v>
      </c>
      <c r="D376" t="s">
        <v>21</v>
      </c>
      <c r="E376" t="s">
        <v>22</v>
      </c>
      <c r="F376" t="s">
        <v>50</v>
      </c>
      <c r="G376" t="s">
        <v>66</v>
      </c>
      <c r="H376" t="s">
        <v>62</v>
      </c>
      <c r="I376" t="s">
        <v>37</v>
      </c>
      <c r="J376" t="s">
        <v>38</v>
      </c>
      <c r="K376" s="1"/>
      <c r="L376" t="s">
        <v>38</v>
      </c>
      <c r="M376" t="s">
        <v>37</v>
      </c>
      <c r="O376" t="s">
        <v>38</v>
      </c>
      <c r="T376" t="str">
        <f>IF(RecruitmentTable[[#This Row],[Final Status]]="In process","Screening",IF(RecruitmentTable[[#This Row],[Final Status]]="Selected","Offer","Rejected"))</f>
        <v>Rejected</v>
      </c>
      <c r="U376">
        <f>IF(RecruitmentTable[[#This Row],[Final Status]]="Selected",1,0)</f>
        <v>0</v>
      </c>
    </row>
    <row r="377" spans="1:21" x14ac:dyDescent="0.25">
      <c r="A377" t="s">
        <v>636</v>
      </c>
      <c r="B377" t="s">
        <v>392</v>
      </c>
      <c r="C377" s="1">
        <v>46091</v>
      </c>
      <c r="D377" t="s">
        <v>41</v>
      </c>
      <c r="E377" t="s">
        <v>42</v>
      </c>
      <c r="F377" t="s">
        <v>35</v>
      </c>
      <c r="G377" t="s">
        <v>66</v>
      </c>
      <c r="H377" t="s">
        <v>51</v>
      </c>
      <c r="I377" t="s">
        <v>26</v>
      </c>
      <c r="J377" t="s">
        <v>27</v>
      </c>
      <c r="K377" s="1">
        <v>46098</v>
      </c>
      <c r="L377" t="s">
        <v>28</v>
      </c>
      <c r="M377" t="s">
        <v>37</v>
      </c>
      <c r="O377" t="s">
        <v>38</v>
      </c>
      <c r="Q377">
        <v>7</v>
      </c>
      <c r="T377" t="str">
        <f>IF(RecruitmentTable[[#This Row],[Final Status]]="In process","Screening",IF(RecruitmentTable[[#This Row],[Final Status]]="Selected","Offer","Rejected"))</f>
        <v>Rejected</v>
      </c>
      <c r="U377">
        <f>IF(RecruitmentTable[[#This Row],[Final Status]]="Selected",1,0)</f>
        <v>0</v>
      </c>
    </row>
    <row r="378" spans="1:21" x14ac:dyDescent="0.25">
      <c r="A378" t="s">
        <v>637</v>
      </c>
      <c r="B378" t="s">
        <v>567</v>
      </c>
      <c r="C378" s="1">
        <v>46054</v>
      </c>
      <c r="D378" t="s">
        <v>21</v>
      </c>
      <c r="E378" t="s">
        <v>22</v>
      </c>
      <c r="F378" t="s">
        <v>50</v>
      </c>
      <c r="G378" t="s">
        <v>71</v>
      </c>
      <c r="H378" t="s">
        <v>72</v>
      </c>
      <c r="I378" t="s">
        <v>26</v>
      </c>
      <c r="J378" t="s">
        <v>38</v>
      </c>
      <c r="K378" s="1"/>
      <c r="L378" t="s">
        <v>58</v>
      </c>
      <c r="M378" t="s">
        <v>59</v>
      </c>
      <c r="O378" t="s">
        <v>38</v>
      </c>
      <c r="T378" t="str">
        <f>IF(RecruitmentTable[[#This Row],[Final Status]]="In process","Screening",IF(RecruitmentTable[[#This Row],[Final Status]]="Selected","Offer","Rejected"))</f>
        <v>Screening</v>
      </c>
      <c r="U378">
        <f>IF(RecruitmentTable[[#This Row],[Final Status]]="Selected",1,0)</f>
        <v>0</v>
      </c>
    </row>
    <row r="379" spans="1:21" x14ac:dyDescent="0.25">
      <c r="A379" t="s">
        <v>638</v>
      </c>
      <c r="B379" t="s">
        <v>639</v>
      </c>
      <c r="C379" s="1">
        <v>46235</v>
      </c>
      <c r="D379" t="s">
        <v>33</v>
      </c>
      <c r="E379" t="s">
        <v>34</v>
      </c>
      <c r="F379" t="s">
        <v>23</v>
      </c>
      <c r="G379" t="s">
        <v>24</v>
      </c>
      <c r="H379" t="s">
        <v>72</v>
      </c>
      <c r="I379" t="s">
        <v>37</v>
      </c>
      <c r="J379" t="s">
        <v>38</v>
      </c>
      <c r="K379" s="1"/>
      <c r="L379" t="s">
        <v>38</v>
      </c>
      <c r="M379" t="s">
        <v>37</v>
      </c>
      <c r="O379" t="s">
        <v>38</v>
      </c>
      <c r="T379" t="str">
        <f>IF(RecruitmentTable[[#This Row],[Final Status]]="In process","Screening",IF(RecruitmentTable[[#This Row],[Final Status]]="Selected","Offer","Rejected"))</f>
        <v>Rejected</v>
      </c>
      <c r="U379">
        <f>IF(RecruitmentTable[[#This Row],[Final Status]]="Selected",1,0)</f>
        <v>0</v>
      </c>
    </row>
    <row r="380" spans="1:21" x14ac:dyDescent="0.25">
      <c r="A380" t="s">
        <v>640</v>
      </c>
      <c r="B380" t="s">
        <v>416</v>
      </c>
      <c r="C380" s="1">
        <v>46098</v>
      </c>
      <c r="D380" t="s">
        <v>33</v>
      </c>
      <c r="E380" t="s">
        <v>34</v>
      </c>
      <c r="F380" t="s">
        <v>43</v>
      </c>
      <c r="G380" t="s">
        <v>71</v>
      </c>
      <c r="H380" t="s">
        <v>72</v>
      </c>
      <c r="I380" t="s">
        <v>26</v>
      </c>
      <c r="J380" t="s">
        <v>27</v>
      </c>
      <c r="K380" s="1">
        <v>46108</v>
      </c>
      <c r="L380" t="s">
        <v>28</v>
      </c>
      <c r="M380" t="s">
        <v>29</v>
      </c>
      <c r="N380" s="1">
        <v>46114</v>
      </c>
      <c r="O380" t="s">
        <v>30</v>
      </c>
      <c r="P380" s="1">
        <v>46140</v>
      </c>
      <c r="Q380">
        <v>10</v>
      </c>
      <c r="R380">
        <v>6</v>
      </c>
      <c r="S380">
        <v>26</v>
      </c>
      <c r="T380" t="str">
        <f>IF(RecruitmentTable[[#This Row],[Final Status]]="In process","Screening",IF(RecruitmentTable[[#This Row],[Final Status]]="Selected","Offer","Rejected"))</f>
        <v>Offer</v>
      </c>
      <c r="U380">
        <f>IF(RecruitmentTable[[#This Row],[Final Status]]="Selected",1,0)</f>
        <v>1</v>
      </c>
    </row>
    <row r="381" spans="1:21" x14ac:dyDescent="0.25">
      <c r="A381" t="s">
        <v>641</v>
      </c>
      <c r="B381" t="s">
        <v>598</v>
      </c>
      <c r="C381" s="1">
        <v>46156</v>
      </c>
      <c r="D381" t="s">
        <v>21</v>
      </c>
      <c r="E381" t="s">
        <v>22</v>
      </c>
      <c r="F381" t="s">
        <v>35</v>
      </c>
      <c r="G381" t="s">
        <v>84</v>
      </c>
      <c r="H381" t="s">
        <v>72</v>
      </c>
      <c r="I381" t="s">
        <v>26</v>
      </c>
      <c r="J381" t="s">
        <v>38</v>
      </c>
      <c r="K381" s="1"/>
      <c r="L381" t="s">
        <v>58</v>
      </c>
      <c r="M381" t="s">
        <v>59</v>
      </c>
      <c r="O381" t="s">
        <v>38</v>
      </c>
      <c r="T381" t="str">
        <f>IF(RecruitmentTable[[#This Row],[Final Status]]="In process","Screening",IF(RecruitmentTable[[#This Row],[Final Status]]="Selected","Offer","Rejected"))</f>
        <v>Screening</v>
      </c>
      <c r="U381">
        <f>IF(RecruitmentTable[[#This Row],[Final Status]]="Selected",1,0)</f>
        <v>0</v>
      </c>
    </row>
    <row r="382" spans="1:21" x14ac:dyDescent="0.25">
      <c r="A382" t="s">
        <v>642</v>
      </c>
      <c r="B382" t="s">
        <v>321</v>
      </c>
      <c r="C382" s="1">
        <v>46144</v>
      </c>
      <c r="D382" t="s">
        <v>56</v>
      </c>
      <c r="E382" t="s">
        <v>34</v>
      </c>
      <c r="F382" t="s">
        <v>57</v>
      </c>
      <c r="G382" t="s">
        <v>24</v>
      </c>
      <c r="H382" t="s">
        <v>72</v>
      </c>
      <c r="I382" t="s">
        <v>26</v>
      </c>
      <c r="J382" t="s">
        <v>27</v>
      </c>
      <c r="K382" s="1">
        <v>46153</v>
      </c>
      <c r="L382" t="s">
        <v>28</v>
      </c>
      <c r="M382" t="s">
        <v>29</v>
      </c>
      <c r="N382" s="1">
        <v>46160</v>
      </c>
      <c r="O382" t="s">
        <v>30</v>
      </c>
      <c r="P382" s="1">
        <v>46177</v>
      </c>
      <c r="Q382">
        <v>9</v>
      </c>
      <c r="R382">
        <v>7</v>
      </c>
      <c r="S382">
        <v>17</v>
      </c>
      <c r="T382" t="str">
        <f>IF(RecruitmentTable[[#This Row],[Final Status]]="In process","Screening",IF(RecruitmentTable[[#This Row],[Final Status]]="Selected","Offer","Rejected"))</f>
        <v>Offer</v>
      </c>
      <c r="U382">
        <f>IF(RecruitmentTable[[#This Row],[Final Status]]="Selected",1,0)</f>
        <v>1</v>
      </c>
    </row>
    <row r="383" spans="1:21" x14ac:dyDescent="0.25">
      <c r="A383" t="s">
        <v>643</v>
      </c>
      <c r="B383" t="s">
        <v>246</v>
      </c>
      <c r="C383" s="1">
        <v>46159</v>
      </c>
      <c r="D383" t="s">
        <v>83</v>
      </c>
      <c r="E383" t="s">
        <v>34</v>
      </c>
      <c r="F383" t="s">
        <v>35</v>
      </c>
      <c r="G383" t="s">
        <v>84</v>
      </c>
      <c r="H383" t="s">
        <v>51</v>
      </c>
      <c r="I383" t="s">
        <v>26</v>
      </c>
      <c r="J383" t="s">
        <v>38</v>
      </c>
      <c r="K383" s="1"/>
      <c r="L383" t="s">
        <v>58</v>
      </c>
      <c r="M383" t="s">
        <v>59</v>
      </c>
      <c r="O383" t="s">
        <v>38</v>
      </c>
      <c r="T383" t="str">
        <f>IF(RecruitmentTable[[#This Row],[Final Status]]="In process","Screening",IF(RecruitmentTable[[#This Row],[Final Status]]="Selected","Offer","Rejected"))</f>
        <v>Screening</v>
      </c>
      <c r="U383">
        <f>IF(RecruitmentTable[[#This Row],[Final Status]]="Selected",1,0)</f>
        <v>0</v>
      </c>
    </row>
    <row r="384" spans="1:21" x14ac:dyDescent="0.25">
      <c r="A384" t="s">
        <v>644</v>
      </c>
      <c r="B384" t="s">
        <v>384</v>
      </c>
      <c r="C384" s="1">
        <v>46163</v>
      </c>
      <c r="D384" t="s">
        <v>33</v>
      </c>
      <c r="E384" t="s">
        <v>34</v>
      </c>
      <c r="F384" t="s">
        <v>35</v>
      </c>
      <c r="G384" t="s">
        <v>36</v>
      </c>
      <c r="H384" t="s">
        <v>25</v>
      </c>
      <c r="I384" t="s">
        <v>37</v>
      </c>
      <c r="J384" t="s">
        <v>38</v>
      </c>
      <c r="K384" s="1"/>
      <c r="L384" t="s">
        <v>38</v>
      </c>
      <c r="M384" t="s">
        <v>37</v>
      </c>
      <c r="O384" t="s">
        <v>38</v>
      </c>
      <c r="T384" t="str">
        <f>IF(RecruitmentTable[[#This Row],[Final Status]]="In process","Screening",IF(RecruitmentTable[[#This Row],[Final Status]]="Selected","Offer","Rejected"))</f>
        <v>Rejected</v>
      </c>
      <c r="U384">
        <f>IF(RecruitmentTable[[#This Row],[Final Status]]="Selected",1,0)</f>
        <v>0</v>
      </c>
    </row>
    <row r="385" spans="1:21" x14ac:dyDescent="0.25">
      <c r="A385" t="s">
        <v>645</v>
      </c>
      <c r="B385" t="s">
        <v>78</v>
      </c>
      <c r="C385" s="1">
        <v>46039</v>
      </c>
      <c r="D385" t="s">
        <v>41</v>
      </c>
      <c r="E385" t="s">
        <v>42</v>
      </c>
      <c r="F385" t="s">
        <v>100</v>
      </c>
      <c r="G385" t="s">
        <v>84</v>
      </c>
      <c r="H385" t="s">
        <v>51</v>
      </c>
      <c r="I385" t="s">
        <v>26</v>
      </c>
      <c r="J385" t="s">
        <v>27</v>
      </c>
      <c r="K385" s="1">
        <v>46055</v>
      </c>
      <c r="L385" t="s">
        <v>28</v>
      </c>
      <c r="M385" t="s">
        <v>29</v>
      </c>
      <c r="N385" s="1">
        <v>46059</v>
      </c>
      <c r="O385" t="s">
        <v>30</v>
      </c>
      <c r="P385" s="1">
        <v>46083</v>
      </c>
      <c r="Q385">
        <v>16</v>
      </c>
      <c r="R385">
        <v>4</v>
      </c>
      <c r="S385">
        <v>24</v>
      </c>
      <c r="T385" t="str">
        <f>IF(RecruitmentTable[[#This Row],[Final Status]]="In process","Screening",IF(RecruitmentTable[[#This Row],[Final Status]]="Selected","Offer","Rejected"))</f>
        <v>Offer</v>
      </c>
      <c r="U385">
        <f>IF(RecruitmentTable[[#This Row],[Final Status]]="Selected",1,0)</f>
        <v>1</v>
      </c>
    </row>
    <row r="386" spans="1:21" x14ac:dyDescent="0.25">
      <c r="A386" t="s">
        <v>646</v>
      </c>
      <c r="B386" t="s">
        <v>80</v>
      </c>
      <c r="C386" s="1">
        <v>46166</v>
      </c>
      <c r="D386" t="s">
        <v>41</v>
      </c>
      <c r="E386" t="s">
        <v>42</v>
      </c>
      <c r="F386" t="s">
        <v>35</v>
      </c>
      <c r="G386" t="s">
        <v>71</v>
      </c>
      <c r="H386" t="s">
        <v>72</v>
      </c>
      <c r="I386" t="s">
        <v>26</v>
      </c>
      <c r="J386" t="s">
        <v>38</v>
      </c>
      <c r="K386" s="1"/>
      <c r="L386" t="s">
        <v>58</v>
      </c>
      <c r="M386" t="s">
        <v>59</v>
      </c>
      <c r="O386" t="s">
        <v>38</v>
      </c>
      <c r="T386" t="str">
        <f>IF(RecruitmentTable[[#This Row],[Final Status]]="In process","Screening",IF(RecruitmentTable[[#This Row],[Final Status]]="Selected","Offer","Rejected"))</f>
        <v>Screening</v>
      </c>
      <c r="U386">
        <f>IF(RecruitmentTable[[#This Row],[Final Status]]="Selected",1,0)</f>
        <v>0</v>
      </c>
    </row>
    <row r="387" spans="1:21" x14ac:dyDescent="0.25">
      <c r="A387" t="s">
        <v>647</v>
      </c>
      <c r="B387" t="s">
        <v>20</v>
      </c>
      <c r="C387" s="1">
        <v>46140</v>
      </c>
      <c r="D387" t="s">
        <v>21</v>
      </c>
      <c r="E387" t="s">
        <v>22</v>
      </c>
      <c r="F387" t="s">
        <v>57</v>
      </c>
      <c r="G387" t="s">
        <v>84</v>
      </c>
      <c r="H387" t="s">
        <v>51</v>
      </c>
      <c r="I387" t="s">
        <v>26</v>
      </c>
      <c r="J387" t="s">
        <v>27</v>
      </c>
      <c r="K387" s="1">
        <v>46145</v>
      </c>
      <c r="L387" t="s">
        <v>28</v>
      </c>
      <c r="M387" t="s">
        <v>29</v>
      </c>
      <c r="N387" s="1">
        <v>46149</v>
      </c>
      <c r="O387" t="s">
        <v>30</v>
      </c>
      <c r="P387" s="1">
        <v>46174</v>
      </c>
      <c r="Q387">
        <v>5</v>
      </c>
      <c r="R387">
        <v>4</v>
      </c>
      <c r="S387">
        <v>25</v>
      </c>
      <c r="T387" t="str">
        <f>IF(RecruitmentTable[[#This Row],[Final Status]]="In process","Screening",IF(RecruitmentTable[[#This Row],[Final Status]]="Selected","Offer","Rejected"))</f>
        <v>Offer</v>
      </c>
      <c r="U387">
        <f>IF(RecruitmentTable[[#This Row],[Final Status]]="Selected",1,0)</f>
        <v>1</v>
      </c>
    </row>
    <row r="388" spans="1:21" x14ac:dyDescent="0.25">
      <c r="A388" t="s">
        <v>648</v>
      </c>
      <c r="B388" t="s">
        <v>246</v>
      </c>
      <c r="C388" s="1">
        <v>46044</v>
      </c>
      <c r="D388" t="s">
        <v>83</v>
      </c>
      <c r="E388" t="s">
        <v>34</v>
      </c>
      <c r="F388" t="s">
        <v>50</v>
      </c>
      <c r="G388" t="s">
        <v>24</v>
      </c>
      <c r="H388" t="s">
        <v>44</v>
      </c>
      <c r="I388" t="s">
        <v>26</v>
      </c>
      <c r="J388" t="s">
        <v>38</v>
      </c>
      <c r="K388" s="1"/>
      <c r="L388" t="s">
        <v>58</v>
      </c>
      <c r="M388" t="s">
        <v>59</v>
      </c>
      <c r="O388" t="s">
        <v>38</v>
      </c>
      <c r="T388" t="str">
        <f>IF(RecruitmentTable[[#This Row],[Final Status]]="In process","Screening",IF(RecruitmentTable[[#This Row],[Final Status]]="Selected","Offer","Rejected"))</f>
        <v>Screening</v>
      </c>
      <c r="U388">
        <f>IF(RecruitmentTable[[#This Row],[Final Status]]="Selected",1,0)</f>
        <v>0</v>
      </c>
    </row>
    <row r="389" spans="1:21" x14ac:dyDescent="0.25">
      <c r="A389" t="s">
        <v>649</v>
      </c>
      <c r="B389" t="s">
        <v>366</v>
      </c>
      <c r="C389" s="1">
        <v>46067</v>
      </c>
      <c r="D389" t="s">
        <v>33</v>
      </c>
      <c r="E389" t="s">
        <v>34</v>
      </c>
      <c r="F389" t="s">
        <v>100</v>
      </c>
      <c r="G389" t="s">
        <v>24</v>
      </c>
      <c r="H389" t="s">
        <v>51</v>
      </c>
      <c r="I389" t="s">
        <v>26</v>
      </c>
      <c r="J389" t="s">
        <v>27</v>
      </c>
      <c r="K389" s="1">
        <v>46078</v>
      </c>
      <c r="L389" t="s">
        <v>28</v>
      </c>
      <c r="M389" t="s">
        <v>37</v>
      </c>
      <c r="O389" t="s">
        <v>38</v>
      </c>
      <c r="Q389">
        <v>11</v>
      </c>
      <c r="T389" t="str">
        <f>IF(RecruitmentTable[[#This Row],[Final Status]]="In process","Screening",IF(RecruitmentTable[[#This Row],[Final Status]]="Selected","Offer","Rejected"))</f>
        <v>Rejected</v>
      </c>
      <c r="U389">
        <f>IF(RecruitmentTable[[#This Row],[Final Status]]="Selected",1,0)</f>
        <v>0</v>
      </c>
    </row>
    <row r="390" spans="1:21" x14ac:dyDescent="0.25">
      <c r="A390" t="s">
        <v>650</v>
      </c>
      <c r="B390" t="s">
        <v>158</v>
      </c>
      <c r="C390" s="1">
        <v>46082</v>
      </c>
      <c r="D390" t="s">
        <v>21</v>
      </c>
      <c r="E390" t="s">
        <v>22</v>
      </c>
      <c r="F390" t="s">
        <v>50</v>
      </c>
      <c r="G390" t="s">
        <v>36</v>
      </c>
      <c r="H390" t="s">
        <v>62</v>
      </c>
      <c r="I390" t="s">
        <v>26</v>
      </c>
      <c r="J390" t="s">
        <v>38</v>
      </c>
      <c r="K390" s="1"/>
      <c r="L390" t="s">
        <v>58</v>
      </c>
      <c r="M390" t="s">
        <v>59</v>
      </c>
      <c r="O390" t="s">
        <v>38</v>
      </c>
      <c r="T390" t="str">
        <f>IF(RecruitmentTable[[#This Row],[Final Status]]="In process","Screening",IF(RecruitmentTable[[#This Row],[Final Status]]="Selected","Offer","Rejected"))</f>
        <v>Screening</v>
      </c>
      <c r="U390">
        <f>IF(RecruitmentTable[[#This Row],[Final Status]]="Selected",1,0)</f>
        <v>0</v>
      </c>
    </row>
    <row r="391" spans="1:21" x14ac:dyDescent="0.25">
      <c r="A391" t="s">
        <v>651</v>
      </c>
      <c r="B391" t="s">
        <v>374</v>
      </c>
      <c r="C391" s="1">
        <v>46181</v>
      </c>
      <c r="D391" t="s">
        <v>21</v>
      </c>
      <c r="E391" t="s">
        <v>22</v>
      </c>
      <c r="F391" t="s">
        <v>35</v>
      </c>
      <c r="G391" t="s">
        <v>71</v>
      </c>
      <c r="H391" t="s">
        <v>72</v>
      </c>
      <c r="I391" t="s">
        <v>37</v>
      </c>
      <c r="J391" t="s">
        <v>38</v>
      </c>
      <c r="K391" s="1"/>
      <c r="L391" t="s">
        <v>38</v>
      </c>
      <c r="M391" t="s">
        <v>37</v>
      </c>
      <c r="O391" t="s">
        <v>38</v>
      </c>
      <c r="T391" t="str">
        <f>IF(RecruitmentTable[[#This Row],[Final Status]]="In process","Screening",IF(RecruitmentTable[[#This Row],[Final Status]]="Selected","Offer","Rejected"))</f>
        <v>Rejected</v>
      </c>
      <c r="U391">
        <f>IF(RecruitmentTable[[#This Row],[Final Status]]="Selected",1,0)</f>
        <v>0</v>
      </c>
    </row>
    <row r="392" spans="1:21" x14ac:dyDescent="0.25">
      <c r="A392" t="s">
        <v>652</v>
      </c>
      <c r="B392" t="s">
        <v>653</v>
      </c>
      <c r="C392" s="1">
        <v>46231</v>
      </c>
      <c r="D392" t="s">
        <v>41</v>
      </c>
      <c r="E392" t="s">
        <v>42</v>
      </c>
      <c r="F392" t="s">
        <v>50</v>
      </c>
      <c r="G392" t="s">
        <v>24</v>
      </c>
      <c r="H392" t="s">
        <v>62</v>
      </c>
      <c r="I392" t="s">
        <v>26</v>
      </c>
      <c r="J392" t="s">
        <v>27</v>
      </c>
      <c r="K392" s="1">
        <v>46247</v>
      </c>
      <c r="L392" t="s">
        <v>28</v>
      </c>
      <c r="M392" t="s">
        <v>37</v>
      </c>
      <c r="O392" t="s">
        <v>38</v>
      </c>
      <c r="Q392">
        <v>16</v>
      </c>
      <c r="T392" t="str">
        <f>IF(RecruitmentTable[[#This Row],[Final Status]]="In process","Screening",IF(RecruitmentTable[[#This Row],[Final Status]]="Selected","Offer","Rejected"))</f>
        <v>Rejected</v>
      </c>
      <c r="U392">
        <f>IF(RecruitmentTable[[#This Row],[Final Status]]="Selected",1,0)</f>
        <v>0</v>
      </c>
    </row>
    <row r="393" spans="1:21" x14ac:dyDescent="0.25">
      <c r="A393" t="s">
        <v>654</v>
      </c>
      <c r="B393" t="s">
        <v>209</v>
      </c>
      <c r="C393" s="1">
        <v>46086</v>
      </c>
      <c r="D393" t="s">
        <v>21</v>
      </c>
      <c r="E393" t="s">
        <v>22</v>
      </c>
      <c r="F393" t="s">
        <v>35</v>
      </c>
      <c r="G393" t="s">
        <v>47</v>
      </c>
      <c r="H393" t="s">
        <v>51</v>
      </c>
      <c r="I393" t="s">
        <v>26</v>
      </c>
      <c r="J393" t="s">
        <v>27</v>
      </c>
      <c r="K393" s="1">
        <v>46097</v>
      </c>
      <c r="L393" t="s">
        <v>28</v>
      </c>
      <c r="M393" t="s">
        <v>37</v>
      </c>
      <c r="O393" t="s">
        <v>38</v>
      </c>
      <c r="Q393">
        <v>11</v>
      </c>
      <c r="T393" t="str">
        <f>IF(RecruitmentTable[[#This Row],[Final Status]]="In process","Screening",IF(RecruitmentTable[[#This Row],[Final Status]]="Selected","Offer","Rejected"))</f>
        <v>Rejected</v>
      </c>
      <c r="U393">
        <f>IF(RecruitmentTable[[#This Row],[Final Status]]="Selected",1,0)</f>
        <v>0</v>
      </c>
    </row>
    <row r="394" spans="1:21" x14ac:dyDescent="0.25">
      <c r="A394" t="s">
        <v>655</v>
      </c>
      <c r="B394" t="s">
        <v>401</v>
      </c>
      <c r="C394" s="1">
        <v>46062</v>
      </c>
      <c r="D394" t="s">
        <v>65</v>
      </c>
      <c r="E394" t="s">
        <v>42</v>
      </c>
      <c r="F394" t="s">
        <v>100</v>
      </c>
      <c r="G394" t="s">
        <v>47</v>
      </c>
      <c r="H394" t="s">
        <v>51</v>
      </c>
      <c r="I394" t="s">
        <v>26</v>
      </c>
      <c r="J394" t="s">
        <v>27</v>
      </c>
      <c r="K394" s="1">
        <v>46075</v>
      </c>
      <c r="L394" t="s">
        <v>28</v>
      </c>
      <c r="M394" t="s">
        <v>29</v>
      </c>
      <c r="N394" s="1">
        <v>46078</v>
      </c>
      <c r="O394" t="s">
        <v>30</v>
      </c>
      <c r="P394" s="1">
        <v>46104</v>
      </c>
      <c r="Q394">
        <v>13</v>
      </c>
      <c r="R394">
        <v>3</v>
      </c>
      <c r="S394">
        <v>26</v>
      </c>
      <c r="T394" t="str">
        <f>IF(RecruitmentTable[[#This Row],[Final Status]]="In process","Screening",IF(RecruitmentTable[[#This Row],[Final Status]]="Selected","Offer","Rejected"))</f>
        <v>Offer</v>
      </c>
      <c r="U394">
        <f>IF(RecruitmentTable[[#This Row],[Final Status]]="Selected",1,0)</f>
        <v>1</v>
      </c>
    </row>
    <row r="395" spans="1:21" x14ac:dyDescent="0.25">
      <c r="A395" t="s">
        <v>656</v>
      </c>
      <c r="B395" t="s">
        <v>556</v>
      </c>
      <c r="C395" s="1">
        <v>46261</v>
      </c>
      <c r="D395" t="s">
        <v>65</v>
      </c>
      <c r="E395" t="s">
        <v>42</v>
      </c>
      <c r="F395" t="s">
        <v>57</v>
      </c>
      <c r="G395" t="s">
        <v>71</v>
      </c>
      <c r="H395" t="s">
        <v>25</v>
      </c>
      <c r="I395" t="s">
        <v>37</v>
      </c>
      <c r="J395" t="s">
        <v>38</v>
      </c>
      <c r="K395" s="1"/>
      <c r="L395" t="s">
        <v>38</v>
      </c>
      <c r="M395" t="s">
        <v>37</v>
      </c>
      <c r="O395" t="s">
        <v>38</v>
      </c>
      <c r="T395" t="str">
        <f>IF(RecruitmentTable[[#This Row],[Final Status]]="In process","Screening",IF(RecruitmentTable[[#This Row],[Final Status]]="Selected","Offer","Rejected"))</f>
        <v>Rejected</v>
      </c>
      <c r="U395">
        <f>IF(RecruitmentTable[[#This Row],[Final Status]]="Selected",1,0)</f>
        <v>0</v>
      </c>
    </row>
    <row r="396" spans="1:21" x14ac:dyDescent="0.25">
      <c r="A396" t="s">
        <v>657</v>
      </c>
      <c r="B396" t="s">
        <v>82</v>
      </c>
      <c r="C396" s="1">
        <v>46096</v>
      </c>
      <c r="D396" t="s">
        <v>65</v>
      </c>
      <c r="E396" t="s">
        <v>42</v>
      </c>
      <c r="F396" t="s">
        <v>23</v>
      </c>
      <c r="G396" t="s">
        <v>47</v>
      </c>
      <c r="H396" t="s">
        <v>44</v>
      </c>
      <c r="I396" t="s">
        <v>37</v>
      </c>
      <c r="J396" t="s">
        <v>38</v>
      </c>
      <c r="K396" s="1"/>
      <c r="L396" t="s">
        <v>38</v>
      </c>
      <c r="M396" t="s">
        <v>37</v>
      </c>
      <c r="O396" t="s">
        <v>38</v>
      </c>
      <c r="T396" t="str">
        <f>IF(RecruitmentTable[[#This Row],[Final Status]]="In process","Screening",IF(RecruitmentTable[[#This Row],[Final Status]]="Selected","Offer","Rejected"))</f>
        <v>Rejected</v>
      </c>
      <c r="U396">
        <f>IF(RecruitmentTable[[#This Row],[Final Status]]="Selected",1,0)</f>
        <v>0</v>
      </c>
    </row>
    <row r="397" spans="1:21" x14ac:dyDescent="0.25">
      <c r="A397" t="s">
        <v>658</v>
      </c>
      <c r="B397" t="s">
        <v>659</v>
      </c>
      <c r="C397" s="1">
        <v>46183</v>
      </c>
      <c r="D397" t="s">
        <v>83</v>
      </c>
      <c r="E397" t="s">
        <v>34</v>
      </c>
      <c r="F397" t="s">
        <v>57</v>
      </c>
      <c r="G397" t="s">
        <v>24</v>
      </c>
      <c r="H397" t="s">
        <v>25</v>
      </c>
      <c r="I397" t="s">
        <v>37</v>
      </c>
      <c r="J397" t="s">
        <v>38</v>
      </c>
      <c r="K397" s="1"/>
      <c r="L397" t="s">
        <v>38</v>
      </c>
      <c r="M397" t="s">
        <v>37</v>
      </c>
      <c r="O397" t="s">
        <v>38</v>
      </c>
      <c r="T397" t="str">
        <f>IF(RecruitmentTable[[#This Row],[Final Status]]="In process","Screening",IF(RecruitmentTable[[#This Row],[Final Status]]="Selected","Offer","Rejected"))</f>
        <v>Rejected</v>
      </c>
      <c r="U397">
        <f>IF(RecruitmentTable[[#This Row],[Final Status]]="Selected",1,0)</f>
        <v>0</v>
      </c>
    </row>
    <row r="398" spans="1:21" x14ac:dyDescent="0.25">
      <c r="A398" t="s">
        <v>660</v>
      </c>
      <c r="B398" t="s">
        <v>46</v>
      </c>
      <c r="C398" s="1">
        <v>46027</v>
      </c>
      <c r="D398" t="s">
        <v>65</v>
      </c>
      <c r="E398" t="s">
        <v>42</v>
      </c>
      <c r="F398" t="s">
        <v>23</v>
      </c>
      <c r="G398" t="s">
        <v>47</v>
      </c>
      <c r="H398" t="s">
        <v>72</v>
      </c>
      <c r="I398" t="s">
        <v>37</v>
      </c>
      <c r="J398" t="s">
        <v>38</v>
      </c>
      <c r="K398" s="1"/>
      <c r="L398" t="s">
        <v>38</v>
      </c>
      <c r="M398" t="s">
        <v>37</v>
      </c>
      <c r="O398" t="s">
        <v>38</v>
      </c>
      <c r="T398" t="str">
        <f>IF(RecruitmentTable[[#This Row],[Final Status]]="In process","Screening",IF(RecruitmentTable[[#This Row],[Final Status]]="Selected","Offer","Rejected"))</f>
        <v>Rejected</v>
      </c>
      <c r="U398">
        <f>IF(RecruitmentTable[[#This Row],[Final Status]]="Selected",1,0)</f>
        <v>0</v>
      </c>
    </row>
    <row r="399" spans="1:21" x14ac:dyDescent="0.25">
      <c r="A399" t="s">
        <v>661</v>
      </c>
      <c r="B399" t="s">
        <v>629</v>
      </c>
      <c r="C399" s="1">
        <v>46126</v>
      </c>
      <c r="D399" t="s">
        <v>65</v>
      </c>
      <c r="E399" t="s">
        <v>42</v>
      </c>
      <c r="F399" t="s">
        <v>50</v>
      </c>
      <c r="G399" t="s">
        <v>24</v>
      </c>
      <c r="H399" t="s">
        <v>72</v>
      </c>
      <c r="I399" t="s">
        <v>37</v>
      </c>
      <c r="J399" t="s">
        <v>38</v>
      </c>
      <c r="K399" s="1"/>
      <c r="L399" t="s">
        <v>38</v>
      </c>
      <c r="M399" t="s">
        <v>37</v>
      </c>
      <c r="O399" t="s">
        <v>38</v>
      </c>
      <c r="T399" t="str">
        <f>IF(RecruitmentTable[[#This Row],[Final Status]]="In process","Screening",IF(RecruitmentTable[[#This Row],[Final Status]]="Selected","Offer","Rejected"))</f>
        <v>Rejected</v>
      </c>
      <c r="U399">
        <f>IF(RecruitmentTable[[#This Row],[Final Status]]="Selected",1,0)</f>
        <v>0</v>
      </c>
    </row>
    <row r="400" spans="1:21" x14ac:dyDescent="0.25">
      <c r="A400" t="s">
        <v>662</v>
      </c>
      <c r="B400" t="s">
        <v>447</v>
      </c>
      <c r="C400" s="1">
        <v>46162</v>
      </c>
      <c r="D400" t="s">
        <v>56</v>
      </c>
      <c r="E400" t="s">
        <v>34</v>
      </c>
      <c r="F400" t="s">
        <v>23</v>
      </c>
      <c r="G400" t="s">
        <v>71</v>
      </c>
      <c r="H400" t="s">
        <v>51</v>
      </c>
      <c r="I400" t="s">
        <v>26</v>
      </c>
      <c r="J400" t="s">
        <v>27</v>
      </c>
      <c r="K400" s="1">
        <v>46178</v>
      </c>
      <c r="L400" t="s">
        <v>28</v>
      </c>
      <c r="M400" t="s">
        <v>37</v>
      </c>
      <c r="O400" t="s">
        <v>38</v>
      </c>
      <c r="Q400">
        <v>16</v>
      </c>
      <c r="T400" t="str">
        <f>IF(RecruitmentTable[[#This Row],[Final Status]]="In process","Screening",IF(RecruitmentTable[[#This Row],[Final Status]]="Selected","Offer","Rejected"))</f>
        <v>Rejected</v>
      </c>
      <c r="U400">
        <f>IF(RecruitmentTable[[#This Row],[Final Status]]="Selected",1,0)</f>
        <v>0</v>
      </c>
    </row>
    <row r="401" spans="1:21" x14ac:dyDescent="0.25">
      <c r="A401" t="s">
        <v>663</v>
      </c>
      <c r="B401" t="s">
        <v>664</v>
      </c>
      <c r="C401" s="1">
        <v>46209</v>
      </c>
      <c r="D401" t="s">
        <v>21</v>
      </c>
      <c r="E401" t="s">
        <v>22</v>
      </c>
      <c r="F401" t="s">
        <v>57</v>
      </c>
      <c r="G401" t="s">
        <v>84</v>
      </c>
      <c r="H401" t="s">
        <v>44</v>
      </c>
      <c r="I401" t="s">
        <v>37</v>
      </c>
      <c r="J401" t="s">
        <v>38</v>
      </c>
      <c r="K401" s="1"/>
      <c r="L401" t="s">
        <v>38</v>
      </c>
      <c r="M401" t="s">
        <v>37</v>
      </c>
      <c r="O401" t="s">
        <v>38</v>
      </c>
      <c r="T401" t="str">
        <f>IF(RecruitmentTable[[#This Row],[Final Status]]="In process","Screening",IF(RecruitmentTable[[#This Row],[Final Status]]="Selected","Offer","Rejected"))</f>
        <v>Rejected</v>
      </c>
      <c r="U401">
        <f>IF(RecruitmentTable[[#This Row],[Final Status]]="Selected",1,0)</f>
        <v>0</v>
      </c>
    </row>
    <row r="402" spans="1:21" x14ac:dyDescent="0.25">
      <c r="A402" t="s">
        <v>665</v>
      </c>
      <c r="B402" t="s">
        <v>78</v>
      </c>
      <c r="C402" s="1">
        <v>46188</v>
      </c>
      <c r="D402" t="s">
        <v>41</v>
      </c>
      <c r="E402" t="s">
        <v>42</v>
      </c>
      <c r="F402" t="s">
        <v>50</v>
      </c>
      <c r="G402" t="s">
        <v>66</v>
      </c>
      <c r="H402" t="s">
        <v>44</v>
      </c>
      <c r="I402" t="s">
        <v>26</v>
      </c>
      <c r="J402" t="s">
        <v>38</v>
      </c>
      <c r="K402" s="1"/>
      <c r="L402" t="s">
        <v>58</v>
      </c>
      <c r="M402" t="s">
        <v>59</v>
      </c>
      <c r="O402" t="s">
        <v>38</v>
      </c>
      <c r="T402" t="str">
        <f>IF(RecruitmentTable[[#This Row],[Final Status]]="In process","Screening",IF(RecruitmentTable[[#This Row],[Final Status]]="Selected","Offer","Rejected"))</f>
        <v>Screening</v>
      </c>
      <c r="U402">
        <f>IF(RecruitmentTable[[#This Row],[Final Status]]="Selected",1,0)</f>
        <v>0</v>
      </c>
    </row>
    <row r="403" spans="1:21" x14ac:dyDescent="0.25">
      <c r="A403" t="s">
        <v>666</v>
      </c>
      <c r="B403" t="s">
        <v>667</v>
      </c>
      <c r="C403" s="1">
        <v>46025</v>
      </c>
      <c r="D403" t="s">
        <v>65</v>
      </c>
      <c r="E403" t="s">
        <v>42</v>
      </c>
      <c r="F403" t="s">
        <v>35</v>
      </c>
      <c r="G403" t="s">
        <v>47</v>
      </c>
      <c r="H403" t="s">
        <v>72</v>
      </c>
      <c r="I403" t="s">
        <v>26</v>
      </c>
      <c r="J403" t="s">
        <v>27</v>
      </c>
      <c r="K403" s="1">
        <v>46030</v>
      </c>
      <c r="L403" t="s">
        <v>28</v>
      </c>
      <c r="M403" t="s">
        <v>37</v>
      </c>
      <c r="O403" t="s">
        <v>38</v>
      </c>
      <c r="Q403">
        <v>5</v>
      </c>
      <c r="T403" t="str">
        <f>IF(RecruitmentTable[[#This Row],[Final Status]]="In process","Screening",IF(RecruitmentTable[[#This Row],[Final Status]]="Selected","Offer","Rejected"))</f>
        <v>Rejected</v>
      </c>
      <c r="U403">
        <f>IF(RecruitmentTable[[#This Row],[Final Status]]="Selected",1,0)</f>
        <v>0</v>
      </c>
    </row>
    <row r="404" spans="1:21" x14ac:dyDescent="0.25">
      <c r="A404" t="s">
        <v>668</v>
      </c>
      <c r="B404" t="s">
        <v>282</v>
      </c>
      <c r="C404" s="1">
        <v>46175</v>
      </c>
      <c r="D404" t="s">
        <v>56</v>
      </c>
      <c r="E404" t="s">
        <v>34</v>
      </c>
      <c r="F404" t="s">
        <v>100</v>
      </c>
      <c r="G404" t="s">
        <v>36</v>
      </c>
      <c r="H404" t="s">
        <v>51</v>
      </c>
      <c r="I404" t="s">
        <v>26</v>
      </c>
      <c r="J404" t="s">
        <v>27</v>
      </c>
      <c r="K404" s="1">
        <v>46190</v>
      </c>
      <c r="L404" t="s">
        <v>28</v>
      </c>
      <c r="M404" t="s">
        <v>29</v>
      </c>
      <c r="O404" t="s">
        <v>38</v>
      </c>
      <c r="Q404">
        <v>15</v>
      </c>
      <c r="T404" t="str">
        <f>IF(RecruitmentTable[[#This Row],[Final Status]]="In process","Screening",IF(RecruitmentTable[[#This Row],[Final Status]]="Selected","Offer","Rejected"))</f>
        <v>Offer</v>
      </c>
      <c r="U404">
        <f>IF(RecruitmentTable[[#This Row],[Final Status]]="Selected",1,0)</f>
        <v>1</v>
      </c>
    </row>
    <row r="405" spans="1:21" x14ac:dyDescent="0.25">
      <c r="A405" t="s">
        <v>669</v>
      </c>
      <c r="B405" t="s">
        <v>670</v>
      </c>
      <c r="C405" s="1">
        <v>46268</v>
      </c>
      <c r="D405" t="s">
        <v>21</v>
      </c>
      <c r="E405" t="s">
        <v>22</v>
      </c>
      <c r="F405" t="s">
        <v>35</v>
      </c>
      <c r="G405" t="s">
        <v>71</v>
      </c>
      <c r="H405" t="s">
        <v>62</v>
      </c>
      <c r="I405" t="s">
        <v>37</v>
      </c>
      <c r="J405" t="s">
        <v>38</v>
      </c>
      <c r="K405" s="1"/>
      <c r="L405" t="s">
        <v>38</v>
      </c>
      <c r="M405" t="s">
        <v>37</v>
      </c>
      <c r="O405" t="s">
        <v>38</v>
      </c>
      <c r="T405" t="str">
        <f>IF(RecruitmentTable[[#This Row],[Final Status]]="In process","Screening",IF(RecruitmentTable[[#This Row],[Final Status]]="Selected","Offer","Rejected"))</f>
        <v>Rejected</v>
      </c>
      <c r="U405">
        <f>IF(RecruitmentTable[[#This Row],[Final Status]]="Selected",1,0)</f>
        <v>0</v>
      </c>
    </row>
    <row r="406" spans="1:21" x14ac:dyDescent="0.25">
      <c r="A406" t="s">
        <v>671</v>
      </c>
      <c r="B406" t="s">
        <v>327</v>
      </c>
      <c r="C406" s="1">
        <v>46077</v>
      </c>
      <c r="D406" t="s">
        <v>33</v>
      </c>
      <c r="E406" t="s">
        <v>34</v>
      </c>
      <c r="F406" t="s">
        <v>100</v>
      </c>
      <c r="G406" t="s">
        <v>24</v>
      </c>
      <c r="H406" t="s">
        <v>44</v>
      </c>
      <c r="I406" t="s">
        <v>26</v>
      </c>
      <c r="J406" t="s">
        <v>38</v>
      </c>
      <c r="K406" s="1"/>
      <c r="L406" t="s">
        <v>58</v>
      </c>
      <c r="M406" t="s">
        <v>59</v>
      </c>
      <c r="O406" t="s">
        <v>38</v>
      </c>
      <c r="T406" t="str">
        <f>IF(RecruitmentTable[[#This Row],[Final Status]]="In process","Screening",IF(RecruitmentTable[[#This Row],[Final Status]]="Selected","Offer","Rejected"))</f>
        <v>Screening</v>
      </c>
      <c r="U406">
        <f>IF(RecruitmentTable[[#This Row],[Final Status]]="Selected",1,0)</f>
        <v>0</v>
      </c>
    </row>
    <row r="407" spans="1:21" x14ac:dyDescent="0.25">
      <c r="A407" t="s">
        <v>672</v>
      </c>
      <c r="B407" t="s">
        <v>113</v>
      </c>
      <c r="C407" s="1">
        <v>46086</v>
      </c>
      <c r="D407" t="s">
        <v>21</v>
      </c>
      <c r="E407" t="s">
        <v>22</v>
      </c>
      <c r="F407" t="s">
        <v>57</v>
      </c>
      <c r="G407" t="s">
        <v>84</v>
      </c>
      <c r="H407" t="s">
        <v>51</v>
      </c>
      <c r="I407" t="s">
        <v>37</v>
      </c>
      <c r="J407" t="s">
        <v>38</v>
      </c>
      <c r="K407" s="1"/>
      <c r="L407" t="s">
        <v>38</v>
      </c>
      <c r="M407" t="s">
        <v>37</v>
      </c>
      <c r="O407" t="s">
        <v>38</v>
      </c>
      <c r="T407" t="str">
        <f>IF(RecruitmentTable[[#This Row],[Final Status]]="In process","Screening",IF(RecruitmentTable[[#This Row],[Final Status]]="Selected","Offer","Rejected"))</f>
        <v>Rejected</v>
      </c>
      <c r="U407">
        <f>IF(RecruitmentTable[[#This Row],[Final Status]]="Selected",1,0)</f>
        <v>0</v>
      </c>
    </row>
    <row r="408" spans="1:21" x14ac:dyDescent="0.25">
      <c r="A408" t="s">
        <v>673</v>
      </c>
      <c r="B408" t="s">
        <v>107</v>
      </c>
      <c r="C408" s="1">
        <v>46134</v>
      </c>
      <c r="D408" t="s">
        <v>41</v>
      </c>
      <c r="E408" t="s">
        <v>42</v>
      </c>
      <c r="F408" t="s">
        <v>35</v>
      </c>
      <c r="G408" t="s">
        <v>24</v>
      </c>
      <c r="H408" t="s">
        <v>44</v>
      </c>
      <c r="I408" t="s">
        <v>37</v>
      </c>
      <c r="J408" t="s">
        <v>38</v>
      </c>
      <c r="K408" s="1"/>
      <c r="L408" t="s">
        <v>38</v>
      </c>
      <c r="M408" t="s">
        <v>37</v>
      </c>
      <c r="O408" t="s">
        <v>38</v>
      </c>
      <c r="T408" t="str">
        <f>IF(RecruitmentTable[[#This Row],[Final Status]]="In process","Screening",IF(RecruitmentTable[[#This Row],[Final Status]]="Selected","Offer","Rejected"))</f>
        <v>Rejected</v>
      </c>
      <c r="U408">
        <f>IF(RecruitmentTable[[#This Row],[Final Status]]="Selected",1,0)</f>
        <v>0</v>
      </c>
    </row>
    <row r="409" spans="1:21" x14ac:dyDescent="0.25">
      <c r="A409" t="s">
        <v>674</v>
      </c>
      <c r="B409" t="s">
        <v>200</v>
      </c>
      <c r="C409" s="1">
        <v>46206</v>
      </c>
      <c r="D409" t="s">
        <v>33</v>
      </c>
      <c r="E409" t="s">
        <v>34</v>
      </c>
      <c r="F409" t="s">
        <v>35</v>
      </c>
      <c r="G409" t="s">
        <v>47</v>
      </c>
      <c r="H409" t="s">
        <v>72</v>
      </c>
      <c r="I409" t="s">
        <v>26</v>
      </c>
      <c r="J409" t="s">
        <v>38</v>
      </c>
      <c r="K409" s="1"/>
      <c r="L409" t="s">
        <v>58</v>
      </c>
      <c r="M409" t="s">
        <v>59</v>
      </c>
      <c r="O409" t="s">
        <v>38</v>
      </c>
      <c r="T409" t="str">
        <f>IF(RecruitmentTable[[#This Row],[Final Status]]="In process","Screening",IF(RecruitmentTable[[#This Row],[Final Status]]="Selected","Offer","Rejected"))</f>
        <v>Screening</v>
      </c>
      <c r="U409">
        <f>IF(RecruitmentTable[[#This Row],[Final Status]]="Selected",1,0)</f>
        <v>0</v>
      </c>
    </row>
    <row r="410" spans="1:21" x14ac:dyDescent="0.25">
      <c r="A410" t="s">
        <v>675</v>
      </c>
      <c r="B410" t="s">
        <v>317</v>
      </c>
      <c r="C410" s="1">
        <v>46172</v>
      </c>
      <c r="D410" t="s">
        <v>21</v>
      </c>
      <c r="E410" t="s">
        <v>22</v>
      </c>
      <c r="F410" t="s">
        <v>57</v>
      </c>
      <c r="G410" t="s">
        <v>24</v>
      </c>
      <c r="H410" t="s">
        <v>72</v>
      </c>
      <c r="I410" t="s">
        <v>37</v>
      </c>
      <c r="J410" t="s">
        <v>38</v>
      </c>
      <c r="K410" s="1"/>
      <c r="L410" t="s">
        <v>38</v>
      </c>
      <c r="M410" t="s">
        <v>37</v>
      </c>
      <c r="O410" t="s">
        <v>38</v>
      </c>
      <c r="T410" t="str">
        <f>IF(RecruitmentTable[[#This Row],[Final Status]]="In process","Screening",IF(RecruitmentTable[[#This Row],[Final Status]]="Selected","Offer","Rejected"))</f>
        <v>Rejected</v>
      </c>
      <c r="U410">
        <f>IF(RecruitmentTable[[#This Row],[Final Status]]="Selected",1,0)</f>
        <v>0</v>
      </c>
    </row>
    <row r="411" spans="1:21" x14ac:dyDescent="0.25">
      <c r="A411" t="s">
        <v>676</v>
      </c>
      <c r="B411" t="s">
        <v>677</v>
      </c>
      <c r="C411" s="1">
        <v>46166</v>
      </c>
      <c r="D411" t="s">
        <v>65</v>
      </c>
      <c r="E411" t="s">
        <v>42</v>
      </c>
      <c r="F411" t="s">
        <v>35</v>
      </c>
      <c r="G411" t="s">
        <v>36</v>
      </c>
      <c r="H411" t="s">
        <v>62</v>
      </c>
      <c r="I411" t="s">
        <v>37</v>
      </c>
      <c r="J411" t="s">
        <v>38</v>
      </c>
      <c r="K411" s="1"/>
      <c r="L411" t="s">
        <v>38</v>
      </c>
      <c r="M411" t="s">
        <v>37</v>
      </c>
      <c r="O411" t="s">
        <v>38</v>
      </c>
      <c r="T411" t="str">
        <f>IF(RecruitmentTable[[#This Row],[Final Status]]="In process","Screening",IF(RecruitmentTable[[#This Row],[Final Status]]="Selected","Offer","Rejected"))</f>
        <v>Rejected</v>
      </c>
      <c r="U411">
        <f>IF(RecruitmentTable[[#This Row],[Final Status]]="Selected",1,0)</f>
        <v>0</v>
      </c>
    </row>
    <row r="412" spans="1:21" x14ac:dyDescent="0.25">
      <c r="A412" t="s">
        <v>678</v>
      </c>
      <c r="B412" t="s">
        <v>343</v>
      </c>
      <c r="C412" s="1">
        <v>46203</v>
      </c>
      <c r="D412" t="s">
        <v>21</v>
      </c>
      <c r="E412" t="s">
        <v>22</v>
      </c>
      <c r="F412" t="s">
        <v>57</v>
      </c>
      <c r="G412" t="s">
        <v>47</v>
      </c>
      <c r="H412" t="s">
        <v>62</v>
      </c>
      <c r="I412" t="s">
        <v>26</v>
      </c>
      <c r="J412" t="s">
        <v>38</v>
      </c>
      <c r="K412" s="1"/>
      <c r="L412" t="s">
        <v>58</v>
      </c>
      <c r="M412" t="s">
        <v>59</v>
      </c>
      <c r="O412" t="s">
        <v>38</v>
      </c>
      <c r="T412" t="str">
        <f>IF(RecruitmentTable[[#This Row],[Final Status]]="In process","Screening",IF(RecruitmentTable[[#This Row],[Final Status]]="Selected","Offer","Rejected"))</f>
        <v>Screening</v>
      </c>
      <c r="U412">
        <f>IF(RecruitmentTable[[#This Row],[Final Status]]="Selected",1,0)</f>
        <v>0</v>
      </c>
    </row>
    <row r="413" spans="1:21" x14ac:dyDescent="0.25">
      <c r="A413" t="s">
        <v>679</v>
      </c>
      <c r="B413" t="s">
        <v>680</v>
      </c>
      <c r="C413" s="1">
        <v>46141</v>
      </c>
      <c r="D413" t="s">
        <v>65</v>
      </c>
      <c r="E413" t="s">
        <v>42</v>
      </c>
      <c r="F413" t="s">
        <v>23</v>
      </c>
      <c r="G413" t="s">
        <v>66</v>
      </c>
      <c r="H413" t="s">
        <v>44</v>
      </c>
      <c r="I413" t="s">
        <v>26</v>
      </c>
      <c r="J413" t="s">
        <v>27</v>
      </c>
      <c r="K413" s="1">
        <v>46145</v>
      </c>
      <c r="L413" t="s">
        <v>28</v>
      </c>
      <c r="M413" t="s">
        <v>37</v>
      </c>
      <c r="O413" t="s">
        <v>38</v>
      </c>
      <c r="Q413">
        <v>4</v>
      </c>
      <c r="T413" t="str">
        <f>IF(RecruitmentTable[[#This Row],[Final Status]]="In process","Screening",IF(RecruitmentTable[[#This Row],[Final Status]]="Selected","Offer","Rejected"))</f>
        <v>Rejected</v>
      </c>
      <c r="U413">
        <f>IF(RecruitmentTable[[#This Row],[Final Status]]="Selected",1,0)</f>
        <v>0</v>
      </c>
    </row>
    <row r="414" spans="1:21" x14ac:dyDescent="0.25">
      <c r="A414" t="s">
        <v>681</v>
      </c>
      <c r="B414" t="s">
        <v>505</v>
      </c>
      <c r="C414" s="1">
        <v>46033</v>
      </c>
      <c r="D414" t="s">
        <v>21</v>
      </c>
      <c r="E414" t="s">
        <v>22</v>
      </c>
      <c r="F414" t="s">
        <v>57</v>
      </c>
      <c r="G414" t="s">
        <v>84</v>
      </c>
      <c r="H414" t="s">
        <v>62</v>
      </c>
      <c r="I414" t="s">
        <v>26</v>
      </c>
      <c r="J414" t="s">
        <v>27</v>
      </c>
      <c r="K414" s="1">
        <v>46039</v>
      </c>
      <c r="L414" t="s">
        <v>28</v>
      </c>
      <c r="M414" t="s">
        <v>29</v>
      </c>
      <c r="N414" s="1">
        <v>46045</v>
      </c>
      <c r="O414" t="s">
        <v>30</v>
      </c>
      <c r="P414" s="1">
        <v>46062</v>
      </c>
      <c r="Q414">
        <v>6</v>
      </c>
      <c r="R414">
        <v>6</v>
      </c>
      <c r="S414">
        <v>17</v>
      </c>
      <c r="T414" t="str">
        <f>IF(RecruitmentTable[[#This Row],[Final Status]]="In process","Screening",IF(RecruitmentTable[[#This Row],[Final Status]]="Selected","Offer","Rejected"))</f>
        <v>Offer</v>
      </c>
      <c r="U414">
        <f>IF(RecruitmentTable[[#This Row],[Final Status]]="Selected",1,0)</f>
        <v>1</v>
      </c>
    </row>
    <row r="415" spans="1:21" x14ac:dyDescent="0.25">
      <c r="A415" t="s">
        <v>682</v>
      </c>
      <c r="B415" t="s">
        <v>426</v>
      </c>
      <c r="C415" s="1">
        <v>46258</v>
      </c>
      <c r="D415" t="s">
        <v>56</v>
      </c>
      <c r="E415" t="s">
        <v>34</v>
      </c>
      <c r="F415" t="s">
        <v>43</v>
      </c>
      <c r="G415" t="s">
        <v>47</v>
      </c>
      <c r="H415" t="s">
        <v>25</v>
      </c>
      <c r="I415" t="s">
        <v>26</v>
      </c>
      <c r="J415" t="s">
        <v>27</v>
      </c>
      <c r="K415" s="1">
        <v>46265</v>
      </c>
      <c r="L415" t="s">
        <v>28</v>
      </c>
      <c r="M415" t="s">
        <v>29</v>
      </c>
      <c r="N415" s="1">
        <v>46271</v>
      </c>
      <c r="O415" t="s">
        <v>30</v>
      </c>
      <c r="P415" s="1">
        <v>46284</v>
      </c>
      <c r="Q415">
        <v>7</v>
      </c>
      <c r="R415">
        <v>6</v>
      </c>
      <c r="S415">
        <v>13</v>
      </c>
      <c r="T415" t="str">
        <f>IF(RecruitmentTable[[#This Row],[Final Status]]="In process","Screening",IF(RecruitmentTable[[#This Row],[Final Status]]="Selected","Offer","Rejected"))</f>
        <v>Offer</v>
      </c>
      <c r="U415">
        <f>IF(RecruitmentTable[[#This Row],[Final Status]]="Selected",1,0)</f>
        <v>1</v>
      </c>
    </row>
    <row r="416" spans="1:21" x14ac:dyDescent="0.25">
      <c r="A416" t="s">
        <v>683</v>
      </c>
      <c r="B416" t="s">
        <v>187</v>
      </c>
      <c r="C416" s="1">
        <v>46152</v>
      </c>
      <c r="D416" t="s">
        <v>21</v>
      </c>
      <c r="E416" t="s">
        <v>22</v>
      </c>
      <c r="F416" t="s">
        <v>35</v>
      </c>
      <c r="G416" t="s">
        <v>71</v>
      </c>
      <c r="H416" t="s">
        <v>25</v>
      </c>
      <c r="I416" t="s">
        <v>26</v>
      </c>
      <c r="J416" t="s">
        <v>38</v>
      </c>
      <c r="K416" s="1"/>
      <c r="L416" t="s">
        <v>58</v>
      </c>
      <c r="M416" t="s">
        <v>59</v>
      </c>
      <c r="O416" t="s">
        <v>38</v>
      </c>
      <c r="T416" t="str">
        <f>IF(RecruitmentTable[[#This Row],[Final Status]]="In process","Screening",IF(RecruitmentTable[[#This Row],[Final Status]]="Selected","Offer","Rejected"))</f>
        <v>Screening</v>
      </c>
      <c r="U416">
        <f>IF(RecruitmentTable[[#This Row],[Final Status]]="Selected",1,0)</f>
        <v>0</v>
      </c>
    </row>
    <row r="417" spans="1:21" x14ac:dyDescent="0.25">
      <c r="A417" t="s">
        <v>684</v>
      </c>
      <c r="B417" t="s">
        <v>685</v>
      </c>
      <c r="C417" s="1">
        <v>46134</v>
      </c>
      <c r="D417" t="s">
        <v>41</v>
      </c>
      <c r="E417" t="s">
        <v>42</v>
      </c>
      <c r="F417" t="s">
        <v>35</v>
      </c>
      <c r="G417" t="s">
        <v>47</v>
      </c>
      <c r="H417" t="s">
        <v>51</v>
      </c>
      <c r="I417" t="s">
        <v>37</v>
      </c>
      <c r="J417" t="s">
        <v>38</v>
      </c>
      <c r="K417" s="1"/>
      <c r="L417" t="s">
        <v>38</v>
      </c>
      <c r="M417" t="s">
        <v>37</v>
      </c>
      <c r="O417" t="s">
        <v>38</v>
      </c>
      <c r="T417" t="str">
        <f>IF(RecruitmentTable[[#This Row],[Final Status]]="In process","Screening",IF(RecruitmentTable[[#This Row],[Final Status]]="Selected","Offer","Rejected"))</f>
        <v>Rejected</v>
      </c>
      <c r="U417">
        <f>IF(RecruitmentTable[[#This Row],[Final Status]]="Selected",1,0)</f>
        <v>0</v>
      </c>
    </row>
    <row r="418" spans="1:21" x14ac:dyDescent="0.25">
      <c r="A418" t="s">
        <v>686</v>
      </c>
      <c r="B418" t="s">
        <v>235</v>
      </c>
      <c r="C418" s="1">
        <v>46206</v>
      </c>
      <c r="D418" t="s">
        <v>56</v>
      </c>
      <c r="E418" t="s">
        <v>34</v>
      </c>
      <c r="F418" t="s">
        <v>43</v>
      </c>
      <c r="G418" t="s">
        <v>24</v>
      </c>
      <c r="H418" t="s">
        <v>51</v>
      </c>
      <c r="I418" t="s">
        <v>37</v>
      </c>
      <c r="J418" t="s">
        <v>38</v>
      </c>
      <c r="K418" s="1"/>
      <c r="L418" t="s">
        <v>38</v>
      </c>
      <c r="M418" t="s">
        <v>37</v>
      </c>
      <c r="O418" t="s">
        <v>38</v>
      </c>
      <c r="T418" t="str">
        <f>IF(RecruitmentTable[[#This Row],[Final Status]]="In process","Screening",IF(RecruitmentTable[[#This Row],[Final Status]]="Selected","Offer","Rejected"))</f>
        <v>Rejected</v>
      </c>
      <c r="U418">
        <f>IF(RecruitmentTable[[#This Row],[Final Status]]="Selected",1,0)</f>
        <v>0</v>
      </c>
    </row>
    <row r="419" spans="1:21" x14ac:dyDescent="0.25">
      <c r="A419" t="s">
        <v>687</v>
      </c>
      <c r="B419" t="s">
        <v>688</v>
      </c>
      <c r="C419" s="1">
        <v>46128</v>
      </c>
      <c r="D419" t="s">
        <v>56</v>
      </c>
      <c r="E419" t="s">
        <v>34</v>
      </c>
      <c r="F419" t="s">
        <v>23</v>
      </c>
      <c r="G419" t="s">
        <v>36</v>
      </c>
      <c r="H419" t="s">
        <v>72</v>
      </c>
      <c r="I419" t="s">
        <v>37</v>
      </c>
      <c r="J419" t="s">
        <v>38</v>
      </c>
      <c r="K419" s="1"/>
      <c r="L419" t="s">
        <v>38</v>
      </c>
      <c r="M419" t="s">
        <v>37</v>
      </c>
      <c r="O419" t="s">
        <v>38</v>
      </c>
      <c r="T419" t="str">
        <f>IF(RecruitmentTable[[#This Row],[Final Status]]="In process","Screening",IF(RecruitmentTable[[#This Row],[Final Status]]="Selected","Offer","Rejected"))</f>
        <v>Rejected</v>
      </c>
      <c r="U419">
        <f>IF(RecruitmentTable[[#This Row],[Final Status]]="Selected",1,0)</f>
        <v>0</v>
      </c>
    </row>
    <row r="420" spans="1:21" x14ac:dyDescent="0.25">
      <c r="A420" t="s">
        <v>689</v>
      </c>
      <c r="B420" t="s">
        <v>147</v>
      </c>
      <c r="C420" s="1">
        <v>46240</v>
      </c>
      <c r="D420" t="s">
        <v>41</v>
      </c>
      <c r="E420" t="s">
        <v>42</v>
      </c>
      <c r="F420" t="s">
        <v>50</v>
      </c>
      <c r="G420" t="s">
        <v>36</v>
      </c>
      <c r="H420" t="s">
        <v>44</v>
      </c>
      <c r="I420" t="s">
        <v>26</v>
      </c>
      <c r="J420" t="s">
        <v>38</v>
      </c>
      <c r="K420" s="1"/>
      <c r="L420" t="s">
        <v>58</v>
      </c>
      <c r="M420" t="s">
        <v>59</v>
      </c>
      <c r="O420" t="s">
        <v>38</v>
      </c>
      <c r="T420" t="str">
        <f>IF(RecruitmentTable[[#This Row],[Final Status]]="In process","Screening",IF(RecruitmentTable[[#This Row],[Final Status]]="Selected","Offer","Rejected"))</f>
        <v>Screening</v>
      </c>
      <c r="U420">
        <f>IF(RecruitmentTable[[#This Row],[Final Status]]="Selected",1,0)</f>
        <v>0</v>
      </c>
    </row>
    <row r="421" spans="1:21" x14ac:dyDescent="0.25">
      <c r="A421" t="s">
        <v>690</v>
      </c>
      <c r="B421" t="s">
        <v>131</v>
      </c>
      <c r="C421" s="1">
        <v>46249</v>
      </c>
      <c r="D421" t="s">
        <v>21</v>
      </c>
      <c r="E421" t="s">
        <v>22</v>
      </c>
      <c r="F421" t="s">
        <v>50</v>
      </c>
      <c r="G421" t="s">
        <v>24</v>
      </c>
      <c r="H421" t="s">
        <v>62</v>
      </c>
      <c r="I421" t="s">
        <v>37</v>
      </c>
      <c r="J421" t="s">
        <v>38</v>
      </c>
      <c r="K421" s="1"/>
      <c r="L421" t="s">
        <v>38</v>
      </c>
      <c r="M421" t="s">
        <v>37</v>
      </c>
      <c r="O421" t="s">
        <v>38</v>
      </c>
      <c r="T421" t="str">
        <f>IF(RecruitmentTable[[#This Row],[Final Status]]="In process","Screening",IF(RecruitmentTable[[#This Row],[Final Status]]="Selected","Offer","Rejected"))</f>
        <v>Rejected</v>
      </c>
      <c r="U421">
        <f>IF(RecruitmentTable[[#This Row],[Final Status]]="Selected",1,0)</f>
        <v>0</v>
      </c>
    </row>
    <row r="422" spans="1:21" x14ac:dyDescent="0.25">
      <c r="A422" t="s">
        <v>691</v>
      </c>
      <c r="B422" t="s">
        <v>422</v>
      </c>
      <c r="C422" s="1">
        <v>46251</v>
      </c>
      <c r="D422" t="s">
        <v>83</v>
      </c>
      <c r="E422" t="s">
        <v>34</v>
      </c>
      <c r="F422" t="s">
        <v>35</v>
      </c>
      <c r="G422" t="s">
        <v>71</v>
      </c>
      <c r="H422" t="s">
        <v>44</v>
      </c>
      <c r="I422" t="s">
        <v>37</v>
      </c>
      <c r="J422" t="s">
        <v>38</v>
      </c>
      <c r="K422" s="1"/>
      <c r="L422" t="s">
        <v>38</v>
      </c>
      <c r="M422" t="s">
        <v>37</v>
      </c>
      <c r="O422" t="s">
        <v>38</v>
      </c>
      <c r="T422" t="str">
        <f>IF(RecruitmentTable[[#This Row],[Final Status]]="In process","Screening",IF(RecruitmentTable[[#This Row],[Final Status]]="Selected","Offer","Rejected"))</f>
        <v>Rejected</v>
      </c>
      <c r="U422">
        <f>IF(RecruitmentTable[[#This Row],[Final Status]]="Selected",1,0)</f>
        <v>0</v>
      </c>
    </row>
    <row r="423" spans="1:21" x14ac:dyDescent="0.25">
      <c r="A423" t="s">
        <v>692</v>
      </c>
      <c r="B423" t="s">
        <v>693</v>
      </c>
      <c r="C423" s="1">
        <v>46182</v>
      </c>
      <c r="D423" t="s">
        <v>56</v>
      </c>
      <c r="E423" t="s">
        <v>34</v>
      </c>
      <c r="F423" t="s">
        <v>23</v>
      </c>
      <c r="G423" t="s">
        <v>24</v>
      </c>
      <c r="H423" t="s">
        <v>25</v>
      </c>
      <c r="I423" t="s">
        <v>26</v>
      </c>
      <c r="J423" t="s">
        <v>27</v>
      </c>
      <c r="K423" s="1">
        <v>46198</v>
      </c>
      <c r="L423" t="s">
        <v>28</v>
      </c>
      <c r="M423" t="s">
        <v>29</v>
      </c>
      <c r="N423" s="1">
        <v>46205</v>
      </c>
      <c r="O423" t="s">
        <v>30</v>
      </c>
      <c r="P423" s="1">
        <v>46222</v>
      </c>
      <c r="Q423">
        <v>16</v>
      </c>
      <c r="R423">
        <v>7</v>
      </c>
      <c r="S423">
        <v>17</v>
      </c>
      <c r="T423" t="str">
        <f>IF(RecruitmentTable[[#This Row],[Final Status]]="In process","Screening",IF(RecruitmentTable[[#This Row],[Final Status]]="Selected","Offer","Rejected"))</f>
        <v>Offer</v>
      </c>
      <c r="U423">
        <f>IF(RecruitmentTable[[#This Row],[Final Status]]="Selected",1,0)</f>
        <v>1</v>
      </c>
    </row>
    <row r="424" spans="1:21" x14ac:dyDescent="0.25">
      <c r="A424" t="s">
        <v>694</v>
      </c>
      <c r="B424" t="s">
        <v>695</v>
      </c>
      <c r="C424" s="1">
        <v>46207</v>
      </c>
      <c r="D424" t="s">
        <v>21</v>
      </c>
      <c r="E424" t="s">
        <v>22</v>
      </c>
      <c r="F424" t="s">
        <v>100</v>
      </c>
      <c r="G424" t="s">
        <v>24</v>
      </c>
      <c r="H424" t="s">
        <v>62</v>
      </c>
      <c r="I424" t="s">
        <v>26</v>
      </c>
      <c r="J424" t="s">
        <v>38</v>
      </c>
      <c r="K424" s="1"/>
      <c r="L424" t="s">
        <v>58</v>
      </c>
      <c r="M424" t="s">
        <v>59</v>
      </c>
      <c r="O424" t="s">
        <v>38</v>
      </c>
      <c r="T424" t="str">
        <f>IF(RecruitmentTable[[#This Row],[Final Status]]="In process","Screening",IF(RecruitmentTable[[#This Row],[Final Status]]="Selected","Offer","Rejected"))</f>
        <v>Screening</v>
      </c>
      <c r="U424">
        <f>IF(RecruitmentTable[[#This Row],[Final Status]]="Selected",1,0)</f>
        <v>0</v>
      </c>
    </row>
    <row r="425" spans="1:21" x14ac:dyDescent="0.25">
      <c r="A425" t="s">
        <v>696</v>
      </c>
      <c r="B425" t="s">
        <v>605</v>
      </c>
      <c r="C425" s="1">
        <v>46149</v>
      </c>
      <c r="D425" t="s">
        <v>56</v>
      </c>
      <c r="E425" t="s">
        <v>34</v>
      </c>
      <c r="F425" t="s">
        <v>100</v>
      </c>
      <c r="G425" t="s">
        <v>24</v>
      </c>
      <c r="H425" t="s">
        <v>44</v>
      </c>
      <c r="I425" t="s">
        <v>26</v>
      </c>
      <c r="J425" t="s">
        <v>38</v>
      </c>
      <c r="K425" s="1"/>
      <c r="L425" t="s">
        <v>58</v>
      </c>
      <c r="M425" t="s">
        <v>59</v>
      </c>
      <c r="O425" t="s">
        <v>38</v>
      </c>
      <c r="T425" t="str">
        <f>IF(RecruitmentTable[[#This Row],[Final Status]]="In process","Screening",IF(RecruitmentTable[[#This Row],[Final Status]]="Selected","Offer","Rejected"))</f>
        <v>Screening</v>
      </c>
      <c r="U425">
        <f>IF(RecruitmentTable[[#This Row],[Final Status]]="Selected",1,0)</f>
        <v>0</v>
      </c>
    </row>
    <row r="426" spans="1:21" x14ac:dyDescent="0.25">
      <c r="A426" t="s">
        <v>697</v>
      </c>
      <c r="B426" t="s">
        <v>187</v>
      </c>
      <c r="C426" s="1">
        <v>46227</v>
      </c>
      <c r="D426" t="s">
        <v>56</v>
      </c>
      <c r="E426" t="s">
        <v>34</v>
      </c>
      <c r="F426" t="s">
        <v>35</v>
      </c>
      <c r="G426" t="s">
        <v>24</v>
      </c>
      <c r="H426" t="s">
        <v>25</v>
      </c>
      <c r="I426" t="s">
        <v>26</v>
      </c>
      <c r="J426" t="s">
        <v>27</v>
      </c>
      <c r="K426" s="1">
        <v>46243</v>
      </c>
      <c r="L426" t="s">
        <v>28</v>
      </c>
      <c r="M426" t="s">
        <v>37</v>
      </c>
      <c r="O426" t="s">
        <v>38</v>
      </c>
      <c r="Q426">
        <v>16</v>
      </c>
      <c r="T426" t="str">
        <f>IF(RecruitmentTable[[#This Row],[Final Status]]="In process","Screening",IF(RecruitmentTable[[#This Row],[Final Status]]="Selected","Offer","Rejected"))</f>
        <v>Rejected</v>
      </c>
      <c r="U426">
        <f>IF(RecruitmentTable[[#This Row],[Final Status]]="Selected",1,0)</f>
        <v>0</v>
      </c>
    </row>
    <row r="427" spans="1:21" x14ac:dyDescent="0.25">
      <c r="A427" t="s">
        <v>698</v>
      </c>
      <c r="B427" t="s">
        <v>699</v>
      </c>
      <c r="C427" s="1">
        <v>46286</v>
      </c>
      <c r="D427" t="s">
        <v>33</v>
      </c>
      <c r="E427" t="s">
        <v>34</v>
      </c>
      <c r="F427" t="s">
        <v>35</v>
      </c>
      <c r="G427" t="s">
        <v>71</v>
      </c>
      <c r="H427" t="s">
        <v>25</v>
      </c>
      <c r="I427" t="s">
        <v>26</v>
      </c>
      <c r="J427" t="s">
        <v>38</v>
      </c>
      <c r="K427" s="1"/>
      <c r="L427" t="s">
        <v>58</v>
      </c>
      <c r="M427" t="s">
        <v>59</v>
      </c>
      <c r="O427" t="s">
        <v>38</v>
      </c>
      <c r="T427" t="str">
        <f>IF(RecruitmentTable[[#This Row],[Final Status]]="In process","Screening",IF(RecruitmentTable[[#This Row],[Final Status]]="Selected","Offer","Rejected"))</f>
        <v>Screening</v>
      </c>
      <c r="U427">
        <f>IF(RecruitmentTable[[#This Row],[Final Status]]="Selected",1,0)</f>
        <v>0</v>
      </c>
    </row>
    <row r="428" spans="1:21" x14ac:dyDescent="0.25">
      <c r="A428" t="s">
        <v>700</v>
      </c>
      <c r="B428" t="s">
        <v>113</v>
      </c>
      <c r="C428" s="1">
        <v>46024</v>
      </c>
      <c r="D428" t="s">
        <v>21</v>
      </c>
      <c r="E428" t="s">
        <v>22</v>
      </c>
      <c r="F428" t="s">
        <v>50</v>
      </c>
      <c r="G428" t="s">
        <v>36</v>
      </c>
      <c r="H428" t="s">
        <v>25</v>
      </c>
      <c r="I428" t="s">
        <v>37</v>
      </c>
      <c r="J428" t="s">
        <v>38</v>
      </c>
      <c r="K428" s="1"/>
      <c r="L428" t="s">
        <v>38</v>
      </c>
      <c r="M428" t="s">
        <v>37</v>
      </c>
      <c r="O428" t="s">
        <v>38</v>
      </c>
      <c r="T428" t="str">
        <f>IF(RecruitmentTable[[#This Row],[Final Status]]="In process","Screening",IF(RecruitmentTable[[#This Row],[Final Status]]="Selected","Offer","Rejected"))</f>
        <v>Rejected</v>
      </c>
      <c r="U428">
        <f>IF(RecruitmentTable[[#This Row],[Final Status]]="Selected",1,0)</f>
        <v>0</v>
      </c>
    </row>
    <row r="429" spans="1:21" x14ac:dyDescent="0.25">
      <c r="A429" t="s">
        <v>701</v>
      </c>
      <c r="B429" t="s">
        <v>280</v>
      </c>
      <c r="C429" s="1">
        <v>46291</v>
      </c>
      <c r="D429" t="s">
        <v>65</v>
      </c>
      <c r="E429" t="s">
        <v>42</v>
      </c>
      <c r="F429" t="s">
        <v>57</v>
      </c>
      <c r="G429" t="s">
        <v>71</v>
      </c>
      <c r="H429" t="s">
        <v>72</v>
      </c>
      <c r="I429" t="s">
        <v>26</v>
      </c>
      <c r="J429" t="s">
        <v>27</v>
      </c>
      <c r="K429" s="1">
        <v>46304</v>
      </c>
      <c r="L429" t="s">
        <v>28</v>
      </c>
      <c r="M429" t="s">
        <v>37</v>
      </c>
      <c r="O429" t="s">
        <v>38</v>
      </c>
      <c r="Q429">
        <v>13</v>
      </c>
      <c r="T429" t="str">
        <f>IF(RecruitmentTable[[#This Row],[Final Status]]="In process","Screening",IF(RecruitmentTable[[#This Row],[Final Status]]="Selected","Offer","Rejected"))</f>
        <v>Rejected</v>
      </c>
      <c r="U429">
        <f>IF(RecruitmentTable[[#This Row],[Final Status]]="Selected",1,0)</f>
        <v>0</v>
      </c>
    </row>
    <row r="430" spans="1:21" x14ac:dyDescent="0.25">
      <c r="A430" t="s">
        <v>702</v>
      </c>
      <c r="B430" t="s">
        <v>334</v>
      </c>
      <c r="C430" s="1">
        <v>46075</v>
      </c>
      <c r="D430" t="s">
        <v>41</v>
      </c>
      <c r="E430" t="s">
        <v>42</v>
      </c>
      <c r="F430" t="s">
        <v>35</v>
      </c>
      <c r="G430" t="s">
        <v>24</v>
      </c>
      <c r="H430" t="s">
        <v>44</v>
      </c>
      <c r="I430" t="s">
        <v>37</v>
      </c>
      <c r="J430" t="s">
        <v>38</v>
      </c>
      <c r="K430" s="1"/>
      <c r="L430" t="s">
        <v>38</v>
      </c>
      <c r="M430" t="s">
        <v>37</v>
      </c>
      <c r="O430" t="s">
        <v>38</v>
      </c>
      <c r="T430" t="str">
        <f>IF(RecruitmentTable[[#This Row],[Final Status]]="In process","Screening",IF(RecruitmentTable[[#This Row],[Final Status]]="Selected","Offer","Rejected"))</f>
        <v>Rejected</v>
      </c>
      <c r="U430">
        <f>IF(RecruitmentTable[[#This Row],[Final Status]]="Selected",1,0)</f>
        <v>0</v>
      </c>
    </row>
    <row r="431" spans="1:21" x14ac:dyDescent="0.25">
      <c r="A431" t="s">
        <v>703</v>
      </c>
      <c r="B431" t="s">
        <v>704</v>
      </c>
      <c r="C431" s="1">
        <v>46066</v>
      </c>
      <c r="D431" t="s">
        <v>41</v>
      </c>
      <c r="E431" t="s">
        <v>42</v>
      </c>
      <c r="F431" t="s">
        <v>57</v>
      </c>
      <c r="G431" t="s">
        <v>84</v>
      </c>
      <c r="H431" t="s">
        <v>44</v>
      </c>
      <c r="I431" t="s">
        <v>37</v>
      </c>
      <c r="J431" t="s">
        <v>38</v>
      </c>
      <c r="K431" s="1"/>
      <c r="L431" t="s">
        <v>38</v>
      </c>
      <c r="M431" t="s">
        <v>37</v>
      </c>
      <c r="O431" t="s">
        <v>38</v>
      </c>
      <c r="T431" t="str">
        <f>IF(RecruitmentTable[[#This Row],[Final Status]]="In process","Screening",IF(RecruitmentTable[[#This Row],[Final Status]]="Selected","Offer","Rejected"))</f>
        <v>Rejected</v>
      </c>
      <c r="U431">
        <f>IF(RecruitmentTable[[#This Row],[Final Status]]="Selected",1,0)</f>
        <v>0</v>
      </c>
    </row>
    <row r="432" spans="1:21" x14ac:dyDescent="0.25">
      <c r="A432" t="s">
        <v>705</v>
      </c>
      <c r="B432" t="s">
        <v>575</v>
      </c>
      <c r="C432" s="1">
        <v>46094</v>
      </c>
      <c r="D432" t="s">
        <v>33</v>
      </c>
      <c r="E432" t="s">
        <v>34</v>
      </c>
      <c r="F432" t="s">
        <v>35</v>
      </c>
      <c r="G432" t="s">
        <v>71</v>
      </c>
      <c r="H432" t="s">
        <v>51</v>
      </c>
      <c r="I432" t="s">
        <v>26</v>
      </c>
      <c r="J432" t="s">
        <v>38</v>
      </c>
      <c r="K432" s="1"/>
      <c r="L432" t="s">
        <v>58</v>
      </c>
      <c r="M432" t="s">
        <v>59</v>
      </c>
      <c r="O432" t="s">
        <v>38</v>
      </c>
      <c r="T432" t="str">
        <f>IF(RecruitmentTable[[#This Row],[Final Status]]="In process","Screening",IF(RecruitmentTable[[#This Row],[Final Status]]="Selected","Offer","Rejected"))</f>
        <v>Screening</v>
      </c>
      <c r="U432">
        <f>IF(RecruitmentTable[[#This Row],[Final Status]]="Selected",1,0)</f>
        <v>0</v>
      </c>
    </row>
    <row r="433" spans="1:21" x14ac:dyDescent="0.25">
      <c r="A433" t="s">
        <v>706</v>
      </c>
      <c r="B433" t="s">
        <v>707</v>
      </c>
      <c r="C433" s="1">
        <v>46295</v>
      </c>
      <c r="D433" t="s">
        <v>41</v>
      </c>
      <c r="E433" t="s">
        <v>42</v>
      </c>
      <c r="F433" t="s">
        <v>23</v>
      </c>
      <c r="G433" t="s">
        <v>36</v>
      </c>
      <c r="H433" t="s">
        <v>51</v>
      </c>
      <c r="I433" t="s">
        <v>26</v>
      </c>
      <c r="J433" t="s">
        <v>38</v>
      </c>
      <c r="K433" s="1"/>
      <c r="L433" t="s">
        <v>58</v>
      </c>
      <c r="M433" t="s">
        <v>59</v>
      </c>
      <c r="O433" t="s">
        <v>38</v>
      </c>
      <c r="T433" t="str">
        <f>IF(RecruitmentTable[[#This Row],[Final Status]]="In process","Screening",IF(RecruitmentTable[[#This Row],[Final Status]]="Selected","Offer","Rejected"))</f>
        <v>Screening</v>
      </c>
      <c r="U433">
        <f>IF(RecruitmentTable[[#This Row],[Final Status]]="Selected",1,0)</f>
        <v>0</v>
      </c>
    </row>
    <row r="434" spans="1:21" x14ac:dyDescent="0.25">
      <c r="A434" t="s">
        <v>708</v>
      </c>
      <c r="B434" t="s">
        <v>325</v>
      </c>
      <c r="C434" s="1">
        <v>46222</v>
      </c>
      <c r="D434" t="s">
        <v>21</v>
      </c>
      <c r="E434" t="s">
        <v>22</v>
      </c>
      <c r="F434" t="s">
        <v>43</v>
      </c>
      <c r="G434" t="s">
        <v>24</v>
      </c>
      <c r="H434" t="s">
        <v>72</v>
      </c>
      <c r="I434" t="s">
        <v>26</v>
      </c>
      <c r="J434" t="s">
        <v>27</v>
      </c>
      <c r="K434" s="1">
        <v>46231</v>
      </c>
      <c r="L434" t="s">
        <v>28</v>
      </c>
      <c r="M434" t="s">
        <v>29</v>
      </c>
      <c r="N434" s="1">
        <v>46235</v>
      </c>
      <c r="O434" t="s">
        <v>30</v>
      </c>
      <c r="P434" s="1">
        <v>46250</v>
      </c>
      <c r="Q434">
        <v>9</v>
      </c>
      <c r="R434">
        <v>4</v>
      </c>
      <c r="S434">
        <v>15</v>
      </c>
      <c r="T434" t="str">
        <f>IF(RecruitmentTable[[#This Row],[Final Status]]="In process","Screening",IF(RecruitmentTable[[#This Row],[Final Status]]="Selected","Offer","Rejected"))</f>
        <v>Offer</v>
      </c>
      <c r="U434">
        <f>IF(RecruitmentTable[[#This Row],[Final Status]]="Selected",1,0)</f>
        <v>1</v>
      </c>
    </row>
    <row r="435" spans="1:21" x14ac:dyDescent="0.25">
      <c r="A435" t="s">
        <v>709</v>
      </c>
      <c r="B435" t="s">
        <v>710</v>
      </c>
      <c r="C435" s="1">
        <v>46141</v>
      </c>
      <c r="D435" t="s">
        <v>65</v>
      </c>
      <c r="E435" t="s">
        <v>42</v>
      </c>
      <c r="F435" t="s">
        <v>43</v>
      </c>
      <c r="G435" t="s">
        <v>36</v>
      </c>
      <c r="H435" t="s">
        <v>72</v>
      </c>
      <c r="I435" t="s">
        <v>26</v>
      </c>
      <c r="J435" t="s">
        <v>38</v>
      </c>
      <c r="K435" s="1"/>
      <c r="L435" t="s">
        <v>58</v>
      </c>
      <c r="M435" t="s">
        <v>59</v>
      </c>
      <c r="O435" t="s">
        <v>38</v>
      </c>
      <c r="T435" t="str">
        <f>IF(RecruitmentTable[[#This Row],[Final Status]]="In process","Screening",IF(RecruitmentTable[[#This Row],[Final Status]]="Selected","Offer","Rejected"))</f>
        <v>Screening</v>
      </c>
      <c r="U435">
        <f>IF(RecruitmentTable[[#This Row],[Final Status]]="Selected",1,0)</f>
        <v>0</v>
      </c>
    </row>
    <row r="436" spans="1:21" x14ac:dyDescent="0.25">
      <c r="A436" t="s">
        <v>711</v>
      </c>
      <c r="B436" t="s">
        <v>712</v>
      </c>
      <c r="C436" s="1">
        <v>46127</v>
      </c>
      <c r="D436" t="s">
        <v>56</v>
      </c>
      <c r="E436" t="s">
        <v>34</v>
      </c>
      <c r="F436" t="s">
        <v>23</v>
      </c>
      <c r="G436" t="s">
        <v>84</v>
      </c>
      <c r="H436" t="s">
        <v>44</v>
      </c>
      <c r="I436" t="s">
        <v>26</v>
      </c>
      <c r="J436" t="s">
        <v>27</v>
      </c>
      <c r="K436" s="1">
        <v>46131</v>
      </c>
      <c r="L436" t="s">
        <v>28</v>
      </c>
      <c r="M436" t="s">
        <v>37</v>
      </c>
      <c r="O436" t="s">
        <v>38</v>
      </c>
      <c r="Q436">
        <v>4</v>
      </c>
      <c r="T436" t="str">
        <f>IF(RecruitmentTable[[#This Row],[Final Status]]="In process","Screening",IF(RecruitmentTable[[#This Row],[Final Status]]="Selected","Offer","Rejected"))</f>
        <v>Rejected</v>
      </c>
      <c r="U436">
        <f>IF(RecruitmentTable[[#This Row],[Final Status]]="Selected",1,0)</f>
        <v>0</v>
      </c>
    </row>
    <row r="437" spans="1:21" x14ac:dyDescent="0.25">
      <c r="A437" t="s">
        <v>713</v>
      </c>
      <c r="B437" t="s">
        <v>341</v>
      </c>
      <c r="C437" s="1">
        <v>46119</v>
      </c>
      <c r="D437" t="s">
        <v>33</v>
      </c>
      <c r="E437" t="s">
        <v>34</v>
      </c>
      <c r="F437" t="s">
        <v>43</v>
      </c>
      <c r="G437" t="s">
        <v>24</v>
      </c>
      <c r="H437" t="s">
        <v>44</v>
      </c>
      <c r="I437" t="s">
        <v>26</v>
      </c>
      <c r="J437" t="s">
        <v>27</v>
      </c>
      <c r="K437" s="1">
        <v>46129</v>
      </c>
      <c r="L437" t="s">
        <v>28</v>
      </c>
      <c r="M437" t="s">
        <v>29</v>
      </c>
      <c r="N437" s="1">
        <v>46136</v>
      </c>
      <c r="O437" t="s">
        <v>30</v>
      </c>
      <c r="P437" s="1">
        <v>46158</v>
      </c>
      <c r="Q437">
        <v>10</v>
      </c>
      <c r="R437">
        <v>7</v>
      </c>
      <c r="S437">
        <v>22</v>
      </c>
      <c r="T437" t="str">
        <f>IF(RecruitmentTable[[#This Row],[Final Status]]="In process","Screening",IF(RecruitmentTable[[#This Row],[Final Status]]="Selected","Offer","Rejected"))</f>
        <v>Offer</v>
      </c>
      <c r="U437">
        <f>IF(RecruitmentTable[[#This Row],[Final Status]]="Selected",1,0)</f>
        <v>1</v>
      </c>
    </row>
    <row r="438" spans="1:21" x14ac:dyDescent="0.25">
      <c r="A438" t="s">
        <v>714</v>
      </c>
      <c r="B438" t="s">
        <v>715</v>
      </c>
      <c r="C438" s="1">
        <v>46272</v>
      </c>
      <c r="D438" t="s">
        <v>41</v>
      </c>
      <c r="E438" t="s">
        <v>42</v>
      </c>
      <c r="F438" t="s">
        <v>100</v>
      </c>
      <c r="G438" t="s">
        <v>24</v>
      </c>
      <c r="H438" t="s">
        <v>44</v>
      </c>
      <c r="I438" t="s">
        <v>37</v>
      </c>
      <c r="J438" t="s">
        <v>38</v>
      </c>
      <c r="K438" s="1"/>
      <c r="L438" t="s">
        <v>38</v>
      </c>
      <c r="M438" t="s">
        <v>37</v>
      </c>
      <c r="O438" t="s">
        <v>38</v>
      </c>
      <c r="T438" t="str">
        <f>IF(RecruitmentTable[[#This Row],[Final Status]]="In process","Screening",IF(RecruitmentTable[[#This Row],[Final Status]]="Selected","Offer","Rejected"))</f>
        <v>Rejected</v>
      </c>
      <c r="U438">
        <f>IF(RecruitmentTable[[#This Row],[Final Status]]="Selected",1,0)</f>
        <v>0</v>
      </c>
    </row>
    <row r="439" spans="1:21" x14ac:dyDescent="0.25">
      <c r="A439" t="s">
        <v>716</v>
      </c>
      <c r="B439" t="s">
        <v>282</v>
      </c>
      <c r="C439" s="1">
        <v>46174</v>
      </c>
      <c r="D439" t="s">
        <v>21</v>
      </c>
      <c r="E439" t="s">
        <v>22</v>
      </c>
      <c r="F439" t="s">
        <v>57</v>
      </c>
      <c r="G439" t="s">
        <v>71</v>
      </c>
      <c r="H439" t="s">
        <v>62</v>
      </c>
      <c r="I439" t="s">
        <v>26</v>
      </c>
      <c r="J439" t="s">
        <v>27</v>
      </c>
      <c r="K439" s="1">
        <v>46179</v>
      </c>
      <c r="L439" t="s">
        <v>28</v>
      </c>
      <c r="M439" t="s">
        <v>37</v>
      </c>
      <c r="O439" t="s">
        <v>38</v>
      </c>
      <c r="Q439">
        <v>5</v>
      </c>
      <c r="T439" t="str">
        <f>IF(RecruitmentTable[[#This Row],[Final Status]]="In process","Screening",IF(RecruitmentTable[[#This Row],[Final Status]]="Selected","Offer","Rejected"))</f>
        <v>Rejected</v>
      </c>
      <c r="U439">
        <f>IF(RecruitmentTable[[#This Row],[Final Status]]="Selected",1,0)</f>
        <v>0</v>
      </c>
    </row>
    <row r="440" spans="1:21" x14ac:dyDescent="0.25">
      <c r="A440" t="s">
        <v>717</v>
      </c>
      <c r="B440" t="s">
        <v>338</v>
      </c>
      <c r="C440" s="1">
        <v>46162</v>
      </c>
      <c r="D440" t="s">
        <v>33</v>
      </c>
      <c r="E440" t="s">
        <v>34</v>
      </c>
      <c r="F440" t="s">
        <v>50</v>
      </c>
      <c r="G440" t="s">
        <v>84</v>
      </c>
      <c r="H440" t="s">
        <v>72</v>
      </c>
      <c r="I440" t="s">
        <v>26</v>
      </c>
      <c r="J440" t="s">
        <v>38</v>
      </c>
      <c r="K440" s="1"/>
      <c r="L440" t="s">
        <v>58</v>
      </c>
      <c r="M440" t="s">
        <v>59</v>
      </c>
      <c r="O440" t="s">
        <v>38</v>
      </c>
      <c r="T440" t="str">
        <f>IF(RecruitmentTable[[#This Row],[Final Status]]="In process","Screening",IF(RecruitmentTable[[#This Row],[Final Status]]="Selected","Offer","Rejected"))</f>
        <v>Screening</v>
      </c>
      <c r="U440">
        <f>IF(RecruitmentTable[[#This Row],[Final Status]]="Selected",1,0)</f>
        <v>0</v>
      </c>
    </row>
    <row r="441" spans="1:21" x14ac:dyDescent="0.25">
      <c r="A441" t="s">
        <v>718</v>
      </c>
      <c r="B441" t="s">
        <v>355</v>
      </c>
      <c r="C441" s="1">
        <v>46171</v>
      </c>
      <c r="D441" t="s">
        <v>83</v>
      </c>
      <c r="E441" t="s">
        <v>34</v>
      </c>
      <c r="F441" t="s">
        <v>57</v>
      </c>
      <c r="G441" t="s">
        <v>47</v>
      </c>
      <c r="H441" t="s">
        <v>25</v>
      </c>
      <c r="I441" t="s">
        <v>26</v>
      </c>
      <c r="J441" t="s">
        <v>27</v>
      </c>
      <c r="K441" s="1">
        <v>46184</v>
      </c>
      <c r="L441" t="s">
        <v>28</v>
      </c>
      <c r="M441" t="s">
        <v>37</v>
      </c>
      <c r="O441" t="s">
        <v>38</v>
      </c>
      <c r="Q441">
        <v>13</v>
      </c>
      <c r="T441" t="str">
        <f>IF(RecruitmentTable[[#This Row],[Final Status]]="In process","Screening",IF(RecruitmentTable[[#This Row],[Final Status]]="Selected","Offer","Rejected"))</f>
        <v>Rejected</v>
      </c>
      <c r="U441">
        <f>IF(RecruitmentTable[[#This Row],[Final Status]]="Selected",1,0)</f>
        <v>0</v>
      </c>
    </row>
    <row r="442" spans="1:21" x14ac:dyDescent="0.25">
      <c r="A442" t="s">
        <v>719</v>
      </c>
      <c r="B442" t="s">
        <v>109</v>
      </c>
      <c r="C442" s="1">
        <v>46047</v>
      </c>
      <c r="D442" t="s">
        <v>41</v>
      </c>
      <c r="E442" t="s">
        <v>42</v>
      </c>
      <c r="F442" t="s">
        <v>35</v>
      </c>
      <c r="G442" t="s">
        <v>24</v>
      </c>
      <c r="H442" t="s">
        <v>72</v>
      </c>
      <c r="I442" t="s">
        <v>26</v>
      </c>
      <c r="J442" t="s">
        <v>27</v>
      </c>
      <c r="K442" s="1">
        <v>46053</v>
      </c>
      <c r="L442" t="s">
        <v>28</v>
      </c>
      <c r="M442" t="s">
        <v>29</v>
      </c>
      <c r="N442" s="1">
        <v>46060</v>
      </c>
      <c r="O442" t="s">
        <v>30</v>
      </c>
      <c r="P442" s="1">
        <v>46077</v>
      </c>
      <c r="Q442">
        <v>6</v>
      </c>
      <c r="R442">
        <v>7</v>
      </c>
      <c r="S442">
        <v>17</v>
      </c>
      <c r="T442" t="str">
        <f>IF(RecruitmentTable[[#This Row],[Final Status]]="In process","Screening",IF(RecruitmentTable[[#This Row],[Final Status]]="Selected","Offer","Rejected"))</f>
        <v>Offer</v>
      </c>
      <c r="U442">
        <f>IF(RecruitmentTable[[#This Row],[Final Status]]="Selected",1,0)</f>
        <v>1</v>
      </c>
    </row>
    <row r="443" spans="1:21" x14ac:dyDescent="0.25">
      <c r="A443" t="s">
        <v>720</v>
      </c>
      <c r="B443" t="s">
        <v>61</v>
      </c>
      <c r="C443" s="1">
        <v>46264</v>
      </c>
      <c r="D443" t="s">
        <v>65</v>
      </c>
      <c r="E443" t="s">
        <v>42</v>
      </c>
      <c r="F443" t="s">
        <v>57</v>
      </c>
      <c r="G443" t="s">
        <v>66</v>
      </c>
      <c r="H443" t="s">
        <v>62</v>
      </c>
      <c r="I443" t="s">
        <v>37</v>
      </c>
      <c r="J443" t="s">
        <v>38</v>
      </c>
      <c r="K443" s="1"/>
      <c r="L443" t="s">
        <v>38</v>
      </c>
      <c r="M443" t="s">
        <v>37</v>
      </c>
      <c r="O443" t="s">
        <v>38</v>
      </c>
      <c r="T443" t="str">
        <f>IF(RecruitmentTable[[#This Row],[Final Status]]="In process","Screening",IF(RecruitmentTable[[#This Row],[Final Status]]="Selected","Offer","Rejected"))</f>
        <v>Rejected</v>
      </c>
      <c r="U443">
        <f>IF(RecruitmentTable[[#This Row],[Final Status]]="Selected",1,0)</f>
        <v>0</v>
      </c>
    </row>
    <row r="444" spans="1:21" x14ac:dyDescent="0.25">
      <c r="A444" t="s">
        <v>721</v>
      </c>
      <c r="B444" t="s">
        <v>722</v>
      </c>
      <c r="C444" s="1">
        <v>46259</v>
      </c>
      <c r="D444" t="s">
        <v>41</v>
      </c>
      <c r="E444" t="s">
        <v>42</v>
      </c>
      <c r="F444" t="s">
        <v>57</v>
      </c>
      <c r="G444" t="s">
        <v>84</v>
      </c>
      <c r="H444" t="s">
        <v>25</v>
      </c>
      <c r="I444" t="s">
        <v>26</v>
      </c>
      <c r="J444" t="s">
        <v>38</v>
      </c>
      <c r="K444" s="1"/>
      <c r="L444" t="s">
        <v>58</v>
      </c>
      <c r="M444" t="s">
        <v>59</v>
      </c>
      <c r="O444" t="s">
        <v>38</v>
      </c>
      <c r="T444" t="str">
        <f>IF(RecruitmentTable[[#This Row],[Final Status]]="In process","Screening",IF(RecruitmentTable[[#This Row],[Final Status]]="Selected","Offer","Rejected"))</f>
        <v>Screening</v>
      </c>
      <c r="U444">
        <f>IF(RecruitmentTable[[#This Row],[Final Status]]="Selected",1,0)</f>
        <v>0</v>
      </c>
    </row>
    <row r="445" spans="1:21" x14ac:dyDescent="0.25">
      <c r="A445" t="s">
        <v>723</v>
      </c>
      <c r="B445" t="s">
        <v>46</v>
      </c>
      <c r="C445" s="1">
        <v>46210</v>
      </c>
      <c r="D445" t="s">
        <v>65</v>
      </c>
      <c r="E445" t="s">
        <v>42</v>
      </c>
      <c r="F445" t="s">
        <v>57</v>
      </c>
      <c r="G445" t="s">
        <v>47</v>
      </c>
      <c r="H445" t="s">
        <v>51</v>
      </c>
      <c r="I445" t="s">
        <v>37</v>
      </c>
      <c r="J445" t="s">
        <v>38</v>
      </c>
      <c r="K445" s="1"/>
      <c r="L445" t="s">
        <v>38</v>
      </c>
      <c r="M445" t="s">
        <v>37</v>
      </c>
      <c r="O445" t="s">
        <v>38</v>
      </c>
      <c r="T445" t="str">
        <f>IF(RecruitmentTable[[#This Row],[Final Status]]="In process","Screening",IF(RecruitmentTable[[#This Row],[Final Status]]="Selected","Offer","Rejected"))</f>
        <v>Rejected</v>
      </c>
      <c r="U445">
        <f>IF(RecruitmentTable[[#This Row],[Final Status]]="Selected",1,0)</f>
        <v>0</v>
      </c>
    </row>
    <row r="446" spans="1:21" x14ac:dyDescent="0.25">
      <c r="A446" t="s">
        <v>724</v>
      </c>
      <c r="B446" t="s">
        <v>567</v>
      </c>
      <c r="C446" s="1">
        <v>46242</v>
      </c>
      <c r="D446" t="s">
        <v>33</v>
      </c>
      <c r="E446" t="s">
        <v>34</v>
      </c>
      <c r="F446" t="s">
        <v>100</v>
      </c>
      <c r="G446" t="s">
        <v>24</v>
      </c>
      <c r="H446" t="s">
        <v>25</v>
      </c>
      <c r="I446" t="s">
        <v>26</v>
      </c>
      <c r="J446" t="s">
        <v>27</v>
      </c>
      <c r="K446" s="1">
        <v>46251</v>
      </c>
      <c r="L446" t="s">
        <v>28</v>
      </c>
      <c r="M446" t="s">
        <v>29</v>
      </c>
      <c r="N446" s="1">
        <v>46257</v>
      </c>
      <c r="O446" t="s">
        <v>30</v>
      </c>
      <c r="P446" s="1">
        <v>46281</v>
      </c>
      <c r="Q446">
        <v>9</v>
      </c>
      <c r="R446">
        <v>6</v>
      </c>
      <c r="S446">
        <v>24</v>
      </c>
      <c r="T446" t="str">
        <f>IF(RecruitmentTable[[#This Row],[Final Status]]="In process","Screening",IF(RecruitmentTable[[#This Row],[Final Status]]="Selected","Offer","Rejected"))</f>
        <v>Offer</v>
      </c>
      <c r="U446">
        <f>IF(RecruitmentTable[[#This Row],[Final Status]]="Selected",1,0)</f>
        <v>1</v>
      </c>
    </row>
    <row r="447" spans="1:21" x14ac:dyDescent="0.25">
      <c r="A447" t="s">
        <v>725</v>
      </c>
      <c r="B447" t="s">
        <v>125</v>
      </c>
      <c r="C447" s="1">
        <v>46271</v>
      </c>
      <c r="D447" t="s">
        <v>65</v>
      </c>
      <c r="E447" t="s">
        <v>42</v>
      </c>
      <c r="F447" t="s">
        <v>23</v>
      </c>
      <c r="G447" t="s">
        <v>84</v>
      </c>
      <c r="H447" t="s">
        <v>72</v>
      </c>
      <c r="I447" t="s">
        <v>26</v>
      </c>
      <c r="J447" t="s">
        <v>38</v>
      </c>
      <c r="K447" s="1"/>
      <c r="L447" t="s">
        <v>58</v>
      </c>
      <c r="M447" t="s">
        <v>59</v>
      </c>
      <c r="O447" t="s">
        <v>38</v>
      </c>
      <c r="T447" t="str">
        <f>IF(RecruitmentTable[[#This Row],[Final Status]]="In process","Screening",IF(RecruitmentTable[[#This Row],[Final Status]]="Selected","Offer","Rejected"))</f>
        <v>Screening</v>
      </c>
      <c r="U447">
        <f>IF(RecruitmentTable[[#This Row],[Final Status]]="Selected",1,0)</f>
        <v>0</v>
      </c>
    </row>
    <row r="448" spans="1:21" x14ac:dyDescent="0.25">
      <c r="A448" t="s">
        <v>726</v>
      </c>
      <c r="B448" t="s">
        <v>727</v>
      </c>
      <c r="C448" s="1">
        <v>46212</v>
      </c>
      <c r="D448" t="s">
        <v>21</v>
      </c>
      <c r="E448" t="s">
        <v>22</v>
      </c>
      <c r="F448" t="s">
        <v>57</v>
      </c>
      <c r="G448" t="s">
        <v>84</v>
      </c>
      <c r="H448" t="s">
        <v>72</v>
      </c>
      <c r="I448" t="s">
        <v>37</v>
      </c>
      <c r="J448" t="s">
        <v>38</v>
      </c>
      <c r="K448" s="1"/>
      <c r="L448" t="s">
        <v>38</v>
      </c>
      <c r="M448" t="s">
        <v>37</v>
      </c>
      <c r="O448" t="s">
        <v>38</v>
      </c>
      <c r="T448" t="str">
        <f>IF(RecruitmentTable[[#This Row],[Final Status]]="In process","Screening",IF(RecruitmentTable[[#This Row],[Final Status]]="Selected","Offer","Rejected"))</f>
        <v>Rejected</v>
      </c>
      <c r="U448">
        <f>IF(RecruitmentTable[[#This Row],[Final Status]]="Selected",1,0)</f>
        <v>0</v>
      </c>
    </row>
    <row r="449" spans="1:21" x14ac:dyDescent="0.25">
      <c r="A449" t="s">
        <v>728</v>
      </c>
      <c r="B449" t="s">
        <v>152</v>
      </c>
      <c r="C449" s="1">
        <v>46284</v>
      </c>
      <c r="D449" t="s">
        <v>65</v>
      </c>
      <c r="E449" t="s">
        <v>42</v>
      </c>
      <c r="F449" t="s">
        <v>57</v>
      </c>
      <c r="G449" t="s">
        <v>24</v>
      </c>
      <c r="H449" t="s">
        <v>25</v>
      </c>
      <c r="I449" t="s">
        <v>26</v>
      </c>
      <c r="J449" t="s">
        <v>27</v>
      </c>
      <c r="K449" s="1">
        <v>46290</v>
      </c>
      <c r="L449" t="s">
        <v>28</v>
      </c>
      <c r="M449" t="s">
        <v>37</v>
      </c>
      <c r="O449" t="s">
        <v>38</v>
      </c>
      <c r="Q449">
        <v>6</v>
      </c>
      <c r="T449" t="str">
        <f>IF(RecruitmentTable[[#This Row],[Final Status]]="In process","Screening",IF(RecruitmentTable[[#This Row],[Final Status]]="Selected","Offer","Rejected"))</f>
        <v>Rejected</v>
      </c>
      <c r="U449">
        <f>IF(RecruitmentTable[[#This Row],[Final Status]]="Selected",1,0)</f>
        <v>0</v>
      </c>
    </row>
    <row r="450" spans="1:21" x14ac:dyDescent="0.25">
      <c r="A450" t="s">
        <v>729</v>
      </c>
      <c r="B450" t="s">
        <v>282</v>
      </c>
      <c r="C450" s="1">
        <v>46080</v>
      </c>
      <c r="D450" t="s">
        <v>65</v>
      </c>
      <c r="E450" t="s">
        <v>42</v>
      </c>
      <c r="F450" t="s">
        <v>57</v>
      </c>
      <c r="G450" t="s">
        <v>36</v>
      </c>
      <c r="H450" t="s">
        <v>25</v>
      </c>
      <c r="I450" t="s">
        <v>26</v>
      </c>
      <c r="J450" t="s">
        <v>27</v>
      </c>
      <c r="K450" s="1">
        <v>46085</v>
      </c>
      <c r="L450" t="s">
        <v>28</v>
      </c>
      <c r="M450" t="s">
        <v>37</v>
      </c>
      <c r="O450" t="s">
        <v>38</v>
      </c>
      <c r="Q450">
        <v>5</v>
      </c>
      <c r="T450" t="str">
        <f>IF(RecruitmentTable[[#This Row],[Final Status]]="In process","Screening",IF(RecruitmentTable[[#This Row],[Final Status]]="Selected","Offer","Rejected"))</f>
        <v>Rejected</v>
      </c>
      <c r="U450">
        <f>IF(RecruitmentTable[[#This Row],[Final Status]]="Selected",1,0)</f>
        <v>0</v>
      </c>
    </row>
    <row r="451" spans="1:21" x14ac:dyDescent="0.25">
      <c r="A451" t="s">
        <v>730</v>
      </c>
      <c r="B451" t="s">
        <v>68</v>
      </c>
      <c r="C451" s="1">
        <v>46295</v>
      </c>
      <c r="D451" t="s">
        <v>33</v>
      </c>
      <c r="E451" t="s">
        <v>34</v>
      </c>
      <c r="F451" t="s">
        <v>57</v>
      </c>
      <c r="G451" t="s">
        <v>47</v>
      </c>
      <c r="H451" t="s">
        <v>44</v>
      </c>
      <c r="I451" t="s">
        <v>26</v>
      </c>
      <c r="J451" t="s">
        <v>27</v>
      </c>
      <c r="K451" s="1">
        <v>46310</v>
      </c>
      <c r="L451" t="s">
        <v>28</v>
      </c>
      <c r="M451" t="s">
        <v>37</v>
      </c>
      <c r="O451" t="s">
        <v>38</v>
      </c>
      <c r="Q451">
        <v>15</v>
      </c>
      <c r="T451" t="str">
        <f>IF(RecruitmentTable[[#This Row],[Final Status]]="In process","Screening",IF(RecruitmentTable[[#This Row],[Final Status]]="Selected","Offer","Rejected"))</f>
        <v>Rejected</v>
      </c>
      <c r="U451">
        <f>IF(RecruitmentTable[[#This Row],[Final Status]]="Selected",1,0)</f>
        <v>0</v>
      </c>
    </row>
    <row r="452" spans="1:21" x14ac:dyDescent="0.25">
      <c r="A452" t="s">
        <v>731</v>
      </c>
      <c r="B452" t="s">
        <v>605</v>
      </c>
      <c r="C452" s="1">
        <v>46122</v>
      </c>
      <c r="D452" t="s">
        <v>65</v>
      </c>
      <c r="E452" t="s">
        <v>42</v>
      </c>
      <c r="F452" t="s">
        <v>57</v>
      </c>
      <c r="G452" t="s">
        <v>66</v>
      </c>
      <c r="H452" t="s">
        <v>25</v>
      </c>
      <c r="I452" t="s">
        <v>26</v>
      </c>
      <c r="J452" t="s">
        <v>38</v>
      </c>
      <c r="K452" s="1"/>
      <c r="L452" t="s">
        <v>58</v>
      </c>
      <c r="M452" t="s">
        <v>59</v>
      </c>
      <c r="O452" t="s">
        <v>38</v>
      </c>
      <c r="T452" t="str">
        <f>IF(RecruitmentTable[[#This Row],[Final Status]]="In process","Screening",IF(RecruitmentTable[[#This Row],[Final Status]]="Selected","Offer","Rejected"))</f>
        <v>Screening</v>
      </c>
      <c r="U452">
        <f>IF(RecruitmentTable[[#This Row],[Final Status]]="Selected",1,0)</f>
        <v>0</v>
      </c>
    </row>
    <row r="453" spans="1:21" x14ac:dyDescent="0.25">
      <c r="A453" t="s">
        <v>732</v>
      </c>
      <c r="B453" t="s">
        <v>530</v>
      </c>
      <c r="C453" s="1">
        <v>46186</v>
      </c>
      <c r="D453" t="s">
        <v>83</v>
      </c>
      <c r="E453" t="s">
        <v>34</v>
      </c>
      <c r="F453" t="s">
        <v>50</v>
      </c>
      <c r="G453" t="s">
        <v>71</v>
      </c>
      <c r="H453" t="s">
        <v>44</v>
      </c>
      <c r="I453" t="s">
        <v>37</v>
      </c>
      <c r="J453" t="s">
        <v>38</v>
      </c>
      <c r="K453" s="1"/>
      <c r="L453" t="s">
        <v>38</v>
      </c>
      <c r="M453" t="s">
        <v>37</v>
      </c>
      <c r="O453" t="s">
        <v>38</v>
      </c>
      <c r="T453" t="str">
        <f>IF(RecruitmentTable[[#This Row],[Final Status]]="In process","Screening",IF(RecruitmentTable[[#This Row],[Final Status]]="Selected","Offer","Rejected"))</f>
        <v>Rejected</v>
      </c>
      <c r="U453">
        <f>IF(RecruitmentTable[[#This Row],[Final Status]]="Selected",1,0)</f>
        <v>0</v>
      </c>
    </row>
    <row r="454" spans="1:21" x14ac:dyDescent="0.25">
      <c r="A454" t="s">
        <v>733</v>
      </c>
      <c r="B454" t="s">
        <v>505</v>
      </c>
      <c r="C454" s="1">
        <v>46212</v>
      </c>
      <c r="D454" t="s">
        <v>41</v>
      </c>
      <c r="E454" t="s">
        <v>42</v>
      </c>
      <c r="F454" t="s">
        <v>35</v>
      </c>
      <c r="G454" t="s">
        <v>24</v>
      </c>
      <c r="H454" t="s">
        <v>51</v>
      </c>
      <c r="I454" t="s">
        <v>37</v>
      </c>
      <c r="J454" t="s">
        <v>38</v>
      </c>
      <c r="K454" s="1"/>
      <c r="L454" t="s">
        <v>38</v>
      </c>
      <c r="M454" t="s">
        <v>37</v>
      </c>
      <c r="O454" t="s">
        <v>38</v>
      </c>
      <c r="T454" t="str">
        <f>IF(RecruitmentTable[[#This Row],[Final Status]]="In process","Screening",IF(RecruitmentTable[[#This Row],[Final Status]]="Selected","Offer","Rejected"))</f>
        <v>Rejected</v>
      </c>
      <c r="U454">
        <f>IF(RecruitmentTable[[#This Row],[Final Status]]="Selected",1,0)</f>
        <v>0</v>
      </c>
    </row>
    <row r="455" spans="1:21" x14ac:dyDescent="0.25">
      <c r="A455" t="s">
        <v>734</v>
      </c>
      <c r="B455" t="s">
        <v>667</v>
      </c>
      <c r="C455" s="1">
        <v>46293</v>
      </c>
      <c r="D455" t="s">
        <v>21</v>
      </c>
      <c r="E455" t="s">
        <v>22</v>
      </c>
      <c r="F455" t="s">
        <v>57</v>
      </c>
      <c r="G455" t="s">
        <v>66</v>
      </c>
      <c r="H455" t="s">
        <v>44</v>
      </c>
      <c r="I455" t="s">
        <v>37</v>
      </c>
      <c r="J455" t="s">
        <v>38</v>
      </c>
      <c r="K455" s="1"/>
      <c r="L455" t="s">
        <v>38</v>
      </c>
      <c r="M455" t="s">
        <v>37</v>
      </c>
      <c r="O455" t="s">
        <v>38</v>
      </c>
      <c r="T455" t="str">
        <f>IF(RecruitmentTable[[#This Row],[Final Status]]="In process","Screening",IF(RecruitmentTable[[#This Row],[Final Status]]="Selected","Offer","Rejected"))</f>
        <v>Rejected</v>
      </c>
      <c r="U455">
        <f>IF(RecruitmentTable[[#This Row],[Final Status]]="Selected",1,0)</f>
        <v>0</v>
      </c>
    </row>
    <row r="456" spans="1:21" x14ac:dyDescent="0.25">
      <c r="A456" t="s">
        <v>735</v>
      </c>
      <c r="B456" t="s">
        <v>695</v>
      </c>
      <c r="C456" s="1">
        <v>46252</v>
      </c>
      <c r="D456" t="s">
        <v>65</v>
      </c>
      <c r="E456" t="s">
        <v>42</v>
      </c>
      <c r="F456" t="s">
        <v>43</v>
      </c>
      <c r="G456" t="s">
        <v>71</v>
      </c>
      <c r="H456" t="s">
        <v>44</v>
      </c>
      <c r="I456" t="s">
        <v>26</v>
      </c>
      <c r="J456" t="s">
        <v>38</v>
      </c>
      <c r="K456" s="1"/>
      <c r="L456" t="s">
        <v>58</v>
      </c>
      <c r="M456" t="s">
        <v>59</v>
      </c>
      <c r="O456" t="s">
        <v>38</v>
      </c>
      <c r="T456" t="str">
        <f>IF(RecruitmentTable[[#This Row],[Final Status]]="In process","Screening",IF(RecruitmentTable[[#This Row],[Final Status]]="Selected","Offer","Rejected"))</f>
        <v>Screening</v>
      </c>
      <c r="U456">
        <f>IF(RecruitmentTable[[#This Row],[Final Status]]="Selected",1,0)</f>
        <v>0</v>
      </c>
    </row>
    <row r="457" spans="1:21" x14ac:dyDescent="0.25">
      <c r="A457" t="s">
        <v>736</v>
      </c>
      <c r="B457" t="s">
        <v>129</v>
      </c>
      <c r="C457" s="1">
        <v>46144</v>
      </c>
      <c r="D457" t="s">
        <v>56</v>
      </c>
      <c r="E457" t="s">
        <v>34</v>
      </c>
      <c r="F457" t="s">
        <v>23</v>
      </c>
      <c r="G457" t="s">
        <v>24</v>
      </c>
      <c r="H457" t="s">
        <v>51</v>
      </c>
      <c r="I457" t="s">
        <v>37</v>
      </c>
      <c r="J457" t="s">
        <v>38</v>
      </c>
      <c r="K457" s="1"/>
      <c r="L457" t="s">
        <v>38</v>
      </c>
      <c r="M457" t="s">
        <v>37</v>
      </c>
      <c r="O457" t="s">
        <v>38</v>
      </c>
      <c r="T457" t="str">
        <f>IF(RecruitmentTable[[#This Row],[Final Status]]="In process","Screening",IF(RecruitmentTable[[#This Row],[Final Status]]="Selected","Offer","Rejected"))</f>
        <v>Rejected</v>
      </c>
      <c r="U457">
        <f>IF(RecruitmentTable[[#This Row],[Final Status]]="Selected",1,0)</f>
        <v>0</v>
      </c>
    </row>
    <row r="458" spans="1:21" x14ac:dyDescent="0.25">
      <c r="A458" t="s">
        <v>737</v>
      </c>
      <c r="B458" t="s">
        <v>738</v>
      </c>
      <c r="C458" s="1">
        <v>46118</v>
      </c>
      <c r="D458" t="s">
        <v>56</v>
      </c>
      <c r="E458" t="s">
        <v>34</v>
      </c>
      <c r="F458" t="s">
        <v>57</v>
      </c>
      <c r="G458" t="s">
        <v>47</v>
      </c>
      <c r="H458" t="s">
        <v>62</v>
      </c>
      <c r="I458" t="s">
        <v>37</v>
      </c>
      <c r="J458" t="s">
        <v>38</v>
      </c>
      <c r="K458" s="1"/>
      <c r="L458" t="s">
        <v>38</v>
      </c>
      <c r="M458" t="s">
        <v>37</v>
      </c>
      <c r="O458" t="s">
        <v>38</v>
      </c>
      <c r="T458" t="str">
        <f>IF(RecruitmentTable[[#This Row],[Final Status]]="In process","Screening",IF(RecruitmentTable[[#This Row],[Final Status]]="Selected","Offer","Rejected"))</f>
        <v>Rejected</v>
      </c>
      <c r="U458">
        <f>IF(RecruitmentTable[[#This Row],[Final Status]]="Selected",1,0)</f>
        <v>0</v>
      </c>
    </row>
    <row r="459" spans="1:21" x14ac:dyDescent="0.25">
      <c r="A459" t="s">
        <v>739</v>
      </c>
      <c r="B459" t="s">
        <v>305</v>
      </c>
      <c r="C459" s="1">
        <v>46118</v>
      </c>
      <c r="D459" t="s">
        <v>33</v>
      </c>
      <c r="E459" t="s">
        <v>34</v>
      </c>
      <c r="F459" t="s">
        <v>50</v>
      </c>
      <c r="G459" t="s">
        <v>84</v>
      </c>
      <c r="H459" t="s">
        <v>25</v>
      </c>
      <c r="I459" t="s">
        <v>37</v>
      </c>
      <c r="J459" t="s">
        <v>38</v>
      </c>
      <c r="K459" s="1"/>
      <c r="L459" t="s">
        <v>38</v>
      </c>
      <c r="M459" t="s">
        <v>37</v>
      </c>
      <c r="O459" t="s">
        <v>38</v>
      </c>
      <c r="T459" t="str">
        <f>IF(RecruitmentTable[[#This Row],[Final Status]]="In process","Screening",IF(RecruitmentTable[[#This Row],[Final Status]]="Selected","Offer","Rejected"))</f>
        <v>Rejected</v>
      </c>
      <c r="U459">
        <f>IF(RecruitmentTable[[#This Row],[Final Status]]="Selected",1,0)</f>
        <v>0</v>
      </c>
    </row>
    <row r="460" spans="1:21" x14ac:dyDescent="0.25">
      <c r="A460" t="s">
        <v>740</v>
      </c>
      <c r="B460" t="s">
        <v>492</v>
      </c>
      <c r="C460" s="1">
        <v>46044</v>
      </c>
      <c r="D460" t="s">
        <v>41</v>
      </c>
      <c r="E460" t="s">
        <v>42</v>
      </c>
      <c r="F460" t="s">
        <v>35</v>
      </c>
      <c r="G460" t="s">
        <v>84</v>
      </c>
      <c r="H460" t="s">
        <v>25</v>
      </c>
      <c r="I460" t="s">
        <v>37</v>
      </c>
      <c r="J460" t="s">
        <v>38</v>
      </c>
      <c r="K460" s="1"/>
      <c r="L460" t="s">
        <v>38</v>
      </c>
      <c r="M460" t="s">
        <v>37</v>
      </c>
      <c r="O460" t="s">
        <v>38</v>
      </c>
      <c r="T460" t="str">
        <f>IF(RecruitmentTable[[#This Row],[Final Status]]="In process","Screening",IF(RecruitmentTable[[#This Row],[Final Status]]="Selected","Offer","Rejected"))</f>
        <v>Rejected</v>
      </c>
      <c r="U460">
        <f>IF(RecruitmentTable[[#This Row],[Final Status]]="Selected",1,0)</f>
        <v>0</v>
      </c>
    </row>
    <row r="461" spans="1:21" x14ac:dyDescent="0.25">
      <c r="A461" t="s">
        <v>741</v>
      </c>
      <c r="B461" t="s">
        <v>431</v>
      </c>
      <c r="C461" s="1">
        <v>46098</v>
      </c>
      <c r="D461" t="s">
        <v>65</v>
      </c>
      <c r="E461" t="s">
        <v>42</v>
      </c>
      <c r="F461" t="s">
        <v>57</v>
      </c>
      <c r="G461" t="s">
        <v>71</v>
      </c>
      <c r="H461" t="s">
        <v>72</v>
      </c>
      <c r="I461" t="s">
        <v>26</v>
      </c>
      <c r="J461" t="s">
        <v>27</v>
      </c>
      <c r="K461" s="1">
        <v>46106</v>
      </c>
      <c r="L461" t="s">
        <v>28</v>
      </c>
      <c r="M461" t="s">
        <v>37</v>
      </c>
      <c r="O461" t="s">
        <v>38</v>
      </c>
      <c r="Q461">
        <v>8</v>
      </c>
      <c r="T461" t="str">
        <f>IF(RecruitmentTable[[#This Row],[Final Status]]="In process","Screening",IF(RecruitmentTable[[#This Row],[Final Status]]="Selected","Offer","Rejected"))</f>
        <v>Rejected</v>
      </c>
      <c r="U461">
        <f>IF(RecruitmentTable[[#This Row],[Final Status]]="Selected",1,0)</f>
        <v>0</v>
      </c>
    </row>
    <row r="462" spans="1:21" x14ac:dyDescent="0.25">
      <c r="A462" t="s">
        <v>742</v>
      </c>
      <c r="B462" t="s">
        <v>399</v>
      </c>
      <c r="C462" s="1">
        <v>46278</v>
      </c>
      <c r="D462" t="s">
        <v>33</v>
      </c>
      <c r="E462" t="s">
        <v>34</v>
      </c>
      <c r="F462" t="s">
        <v>57</v>
      </c>
      <c r="G462" t="s">
        <v>71</v>
      </c>
      <c r="H462" t="s">
        <v>72</v>
      </c>
      <c r="I462" t="s">
        <v>37</v>
      </c>
      <c r="J462" t="s">
        <v>38</v>
      </c>
      <c r="K462" s="1"/>
      <c r="L462" t="s">
        <v>38</v>
      </c>
      <c r="M462" t="s">
        <v>37</v>
      </c>
      <c r="O462" t="s">
        <v>38</v>
      </c>
      <c r="T462" t="str">
        <f>IF(RecruitmentTable[[#This Row],[Final Status]]="In process","Screening",IF(RecruitmentTable[[#This Row],[Final Status]]="Selected","Offer","Rejected"))</f>
        <v>Rejected</v>
      </c>
      <c r="U462">
        <f>IF(RecruitmentTable[[#This Row],[Final Status]]="Selected",1,0)</f>
        <v>0</v>
      </c>
    </row>
    <row r="463" spans="1:21" x14ac:dyDescent="0.25">
      <c r="A463" t="s">
        <v>743</v>
      </c>
      <c r="B463" t="s">
        <v>240</v>
      </c>
      <c r="C463" s="1">
        <v>46116</v>
      </c>
      <c r="D463" t="s">
        <v>41</v>
      </c>
      <c r="E463" t="s">
        <v>42</v>
      </c>
      <c r="F463" t="s">
        <v>50</v>
      </c>
      <c r="G463" t="s">
        <v>24</v>
      </c>
      <c r="H463" t="s">
        <v>44</v>
      </c>
      <c r="I463" t="s">
        <v>26</v>
      </c>
      <c r="J463" t="s">
        <v>27</v>
      </c>
      <c r="K463" s="1">
        <v>46126</v>
      </c>
      <c r="L463" t="s">
        <v>28</v>
      </c>
      <c r="M463" t="s">
        <v>29</v>
      </c>
      <c r="N463" s="1">
        <v>46128</v>
      </c>
      <c r="O463" t="s">
        <v>227</v>
      </c>
      <c r="Q463">
        <v>10</v>
      </c>
      <c r="R463">
        <v>2</v>
      </c>
      <c r="T463" t="str">
        <f>IF(RecruitmentTable[[#This Row],[Final Status]]="In process","Screening",IF(RecruitmentTable[[#This Row],[Final Status]]="Selected","Offer","Rejected"))</f>
        <v>Offer</v>
      </c>
      <c r="U463">
        <f>IF(RecruitmentTable[[#This Row],[Final Status]]="Selected",1,0)</f>
        <v>1</v>
      </c>
    </row>
    <row r="464" spans="1:21" x14ac:dyDescent="0.25">
      <c r="A464" t="s">
        <v>744</v>
      </c>
      <c r="B464" t="s">
        <v>745</v>
      </c>
      <c r="C464" s="1">
        <v>46143</v>
      </c>
      <c r="D464" t="s">
        <v>83</v>
      </c>
      <c r="E464" t="s">
        <v>34</v>
      </c>
      <c r="F464" t="s">
        <v>57</v>
      </c>
      <c r="G464" t="s">
        <v>24</v>
      </c>
      <c r="H464" t="s">
        <v>72</v>
      </c>
      <c r="I464" t="s">
        <v>26</v>
      </c>
      <c r="J464" t="s">
        <v>38</v>
      </c>
      <c r="K464" s="1"/>
      <c r="L464" t="s">
        <v>58</v>
      </c>
      <c r="M464" t="s">
        <v>59</v>
      </c>
      <c r="O464" t="s">
        <v>38</v>
      </c>
      <c r="T464" t="str">
        <f>IF(RecruitmentTable[[#This Row],[Final Status]]="In process","Screening",IF(RecruitmentTable[[#This Row],[Final Status]]="Selected","Offer","Rejected"))</f>
        <v>Screening</v>
      </c>
      <c r="U464">
        <f>IF(RecruitmentTable[[#This Row],[Final Status]]="Selected",1,0)</f>
        <v>0</v>
      </c>
    </row>
    <row r="465" spans="1:21" x14ac:dyDescent="0.25">
      <c r="A465" t="s">
        <v>746</v>
      </c>
      <c r="B465" t="s">
        <v>747</v>
      </c>
      <c r="C465" s="1">
        <v>46261</v>
      </c>
      <c r="D465" t="s">
        <v>41</v>
      </c>
      <c r="E465" t="s">
        <v>42</v>
      </c>
      <c r="F465" t="s">
        <v>43</v>
      </c>
      <c r="G465" t="s">
        <v>36</v>
      </c>
      <c r="H465" t="s">
        <v>51</v>
      </c>
      <c r="I465" t="s">
        <v>26</v>
      </c>
      <c r="J465" t="s">
        <v>27</v>
      </c>
      <c r="K465" s="1">
        <v>46272</v>
      </c>
      <c r="L465" t="s">
        <v>28</v>
      </c>
      <c r="M465" t="s">
        <v>37</v>
      </c>
      <c r="O465" t="s">
        <v>38</v>
      </c>
      <c r="Q465">
        <v>11</v>
      </c>
      <c r="T465" t="str">
        <f>IF(RecruitmentTable[[#This Row],[Final Status]]="In process","Screening",IF(RecruitmentTable[[#This Row],[Final Status]]="Selected","Offer","Rejected"))</f>
        <v>Rejected</v>
      </c>
      <c r="U465">
        <f>IF(RecruitmentTable[[#This Row],[Final Status]]="Selected",1,0)</f>
        <v>0</v>
      </c>
    </row>
    <row r="466" spans="1:21" x14ac:dyDescent="0.25">
      <c r="A466" t="s">
        <v>748</v>
      </c>
      <c r="B466" t="s">
        <v>363</v>
      </c>
      <c r="C466" s="1">
        <v>46085</v>
      </c>
      <c r="D466" t="s">
        <v>41</v>
      </c>
      <c r="E466" t="s">
        <v>42</v>
      </c>
      <c r="F466" t="s">
        <v>23</v>
      </c>
      <c r="G466" t="s">
        <v>84</v>
      </c>
      <c r="H466" t="s">
        <v>72</v>
      </c>
      <c r="I466" t="s">
        <v>26</v>
      </c>
      <c r="J466" t="s">
        <v>27</v>
      </c>
      <c r="K466" s="1">
        <v>46092</v>
      </c>
      <c r="L466" t="s">
        <v>28</v>
      </c>
      <c r="M466" t="s">
        <v>29</v>
      </c>
      <c r="N466" s="1">
        <v>46097</v>
      </c>
      <c r="O466" t="s">
        <v>30</v>
      </c>
      <c r="P466" s="1">
        <v>46121</v>
      </c>
      <c r="Q466">
        <v>7</v>
      </c>
      <c r="R466">
        <v>5</v>
      </c>
      <c r="S466">
        <v>24</v>
      </c>
      <c r="T466" t="str">
        <f>IF(RecruitmentTable[[#This Row],[Final Status]]="In process","Screening",IF(RecruitmentTable[[#This Row],[Final Status]]="Selected","Offer","Rejected"))</f>
        <v>Offer</v>
      </c>
      <c r="U466">
        <f>IF(RecruitmentTable[[#This Row],[Final Status]]="Selected",1,0)</f>
        <v>1</v>
      </c>
    </row>
    <row r="467" spans="1:21" x14ac:dyDescent="0.25">
      <c r="A467" t="s">
        <v>749</v>
      </c>
      <c r="B467" t="s">
        <v>659</v>
      </c>
      <c r="C467" s="1">
        <v>46173</v>
      </c>
      <c r="D467" t="s">
        <v>41</v>
      </c>
      <c r="E467" t="s">
        <v>42</v>
      </c>
      <c r="F467" t="s">
        <v>57</v>
      </c>
      <c r="G467" t="s">
        <v>71</v>
      </c>
      <c r="H467" t="s">
        <v>44</v>
      </c>
      <c r="I467" t="s">
        <v>37</v>
      </c>
      <c r="J467" t="s">
        <v>38</v>
      </c>
      <c r="K467" s="1"/>
      <c r="L467" t="s">
        <v>38</v>
      </c>
      <c r="M467" t="s">
        <v>37</v>
      </c>
      <c r="O467" t="s">
        <v>38</v>
      </c>
      <c r="T467" t="str">
        <f>IF(RecruitmentTable[[#This Row],[Final Status]]="In process","Screening",IF(RecruitmentTable[[#This Row],[Final Status]]="Selected","Offer","Rejected"))</f>
        <v>Rejected</v>
      </c>
      <c r="U467">
        <f>IF(RecruitmentTable[[#This Row],[Final Status]]="Selected",1,0)</f>
        <v>0</v>
      </c>
    </row>
    <row r="468" spans="1:21" x14ac:dyDescent="0.25">
      <c r="A468" t="s">
        <v>750</v>
      </c>
      <c r="B468" t="s">
        <v>449</v>
      </c>
      <c r="C468" s="1">
        <v>46250</v>
      </c>
      <c r="D468" t="s">
        <v>65</v>
      </c>
      <c r="E468" t="s">
        <v>42</v>
      </c>
      <c r="F468" t="s">
        <v>57</v>
      </c>
      <c r="G468" t="s">
        <v>36</v>
      </c>
      <c r="H468" t="s">
        <v>25</v>
      </c>
      <c r="I468" t="s">
        <v>37</v>
      </c>
      <c r="J468" t="s">
        <v>38</v>
      </c>
      <c r="K468" s="1"/>
      <c r="L468" t="s">
        <v>38</v>
      </c>
      <c r="M468" t="s">
        <v>37</v>
      </c>
      <c r="O468" t="s">
        <v>38</v>
      </c>
      <c r="T468" t="str">
        <f>IF(RecruitmentTable[[#This Row],[Final Status]]="In process","Screening",IF(RecruitmentTable[[#This Row],[Final Status]]="Selected","Offer","Rejected"))</f>
        <v>Rejected</v>
      </c>
      <c r="U468">
        <f>IF(RecruitmentTable[[#This Row],[Final Status]]="Selected",1,0)</f>
        <v>0</v>
      </c>
    </row>
    <row r="469" spans="1:21" x14ac:dyDescent="0.25">
      <c r="A469" t="s">
        <v>751</v>
      </c>
      <c r="B469" t="s">
        <v>177</v>
      </c>
      <c r="C469" s="1">
        <v>46170</v>
      </c>
      <c r="D469" t="s">
        <v>21</v>
      </c>
      <c r="E469" t="s">
        <v>22</v>
      </c>
      <c r="F469" t="s">
        <v>43</v>
      </c>
      <c r="G469" t="s">
        <v>84</v>
      </c>
      <c r="H469" t="s">
        <v>51</v>
      </c>
      <c r="I469" t="s">
        <v>26</v>
      </c>
      <c r="J469" t="s">
        <v>27</v>
      </c>
      <c r="K469" s="1">
        <v>46180</v>
      </c>
      <c r="L469" t="s">
        <v>28</v>
      </c>
      <c r="M469" t="s">
        <v>37</v>
      </c>
      <c r="O469" t="s">
        <v>38</v>
      </c>
      <c r="Q469">
        <v>10</v>
      </c>
      <c r="T469" t="str">
        <f>IF(RecruitmentTable[[#This Row],[Final Status]]="In process","Screening",IF(RecruitmentTable[[#This Row],[Final Status]]="Selected","Offer","Rejected"))</f>
        <v>Rejected</v>
      </c>
      <c r="U469">
        <f>IF(RecruitmentTable[[#This Row],[Final Status]]="Selected",1,0)</f>
        <v>0</v>
      </c>
    </row>
    <row r="470" spans="1:21" x14ac:dyDescent="0.25">
      <c r="A470" t="s">
        <v>752</v>
      </c>
      <c r="B470" t="s">
        <v>753</v>
      </c>
      <c r="C470" s="1">
        <v>46243</v>
      </c>
      <c r="D470" t="s">
        <v>56</v>
      </c>
      <c r="E470" t="s">
        <v>34</v>
      </c>
      <c r="F470" t="s">
        <v>43</v>
      </c>
      <c r="G470" t="s">
        <v>84</v>
      </c>
      <c r="H470" t="s">
        <v>72</v>
      </c>
      <c r="I470" t="s">
        <v>26</v>
      </c>
      <c r="J470" t="s">
        <v>27</v>
      </c>
      <c r="K470" s="1">
        <v>46255</v>
      </c>
      <c r="L470" t="s">
        <v>28</v>
      </c>
      <c r="M470" t="s">
        <v>29</v>
      </c>
      <c r="N470" s="1">
        <v>46260</v>
      </c>
      <c r="O470" t="s">
        <v>30</v>
      </c>
      <c r="P470" s="1">
        <v>46287</v>
      </c>
      <c r="Q470">
        <v>12</v>
      </c>
      <c r="R470">
        <v>5</v>
      </c>
      <c r="S470">
        <v>27</v>
      </c>
      <c r="T470" t="str">
        <f>IF(RecruitmentTable[[#This Row],[Final Status]]="In process","Screening",IF(RecruitmentTable[[#This Row],[Final Status]]="Selected","Offer","Rejected"))</f>
        <v>Offer</v>
      </c>
      <c r="U470">
        <f>IF(RecruitmentTable[[#This Row],[Final Status]]="Selected",1,0)</f>
        <v>1</v>
      </c>
    </row>
    <row r="471" spans="1:21" x14ac:dyDescent="0.25">
      <c r="A471" t="s">
        <v>754</v>
      </c>
      <c r="B471" t="s">
        <v>581</v>
      </c>
      <c r="C471" s="1">
        <v>46148</v>
      </c>
      <c r="D471" t="s">
        <v>65</v>
      </c>
      <c r="E471" t="s">
        <v>42</v>
      </c>
      <c r="F471" t="s">
        <v>57</v>
      </c>
      <c r="G471" t="s">
        <v>24</v>
      </c>
      <c r="H471" t="s">
        <v>44</v>
      </c>
      <c r="I471" t="s">
        <v>26</v>
      </c>
      <c r="J471" t="s">
        <v>38</v>
      </c>
      <c r="K471" s="1"/>
      <c r="L471" t="s">
        <v>58</v>
      </c>
      <c r="M471" t="s">
        <v>59</v>
      </c>
      <c r="O471" t="s">
        <v>38</v>
      </c>
      <c r="T471" t="str">
        <f>IF(RecruitmentTable[[#This Row],[Final Status]]="In process","Screening",IF(RecruitmentTable[[#This Row],[Final Status]]="Selected","Offer","Rejected"))</f>
        <v>Screening</v>
      </c>
      <c r="U471">
        <f>IF(RecruitmentTable[[#This Row],[Final Status]]="Selected",1,0)</f>
        <v>0</v>
      </c>
    </row>
    <row r="472" spans="1:21" x14ac:dyDescent="0.25">
      <c r="A472" t="s">
        <v>755</v>
      </c>
      <c r="B472" t="s">
        <v>189</v>
      </c>
      <c r="C472" s="1">
        <v>46157</v>
      </c>
      <c r="D472" t="s">
        <v>41</v>
      </c>
      <c r="E472" t="s">
        <v>42</v>
      </c>
      <c r="F472" t="s">
        <v>43</v>
      </c>
      <c r="G472" t="s">
        <v>24</v>
      </c>
      <c r="H472" t="s">
        <v>62</v>
      </c>
      <c r="I472" t="s">
        <v>37</v>
      </c>
      <c r="J472" t="s">
        <v>38</v>
      </c>
      <c r="K472" s="1"/>
      <c r="L472" t="s">
        <v>38</v>
      </c>
      <c r="M472" t="s">
        <v>37</v>
      </c>
      <c r="O472" t="s">
        <v>38</v>
      </c>
      <c r="T472" t="str">
        <f>IF(RecruitmentTable[[#This Row],[Final Status]]="In process","Screening",IF(RecruitmentTable[[#This Row],[Final Status]]="Selected","Offer","Rejected"))</f>
        <v>Rejected</v>
      </c>
      <c r="U472">
        <f>IF(RecruitmentTable[[#This Row],[Final Status]]="Selected",1,0)</f>
        <v>0</v>
      </c>
    </row>
    <row r="473" spans="1:21" x14ac:dyDescent="0.25">
      <c r="A473" t="s">
        <v>756</v>
      </c>
      <c r="B473" t="s">
        <v>410</v>
      </c>
      <c r="C473" s="1">
        <v>46203</v>
      </c>
      <c r="D473" t="s">
        <v>21</v>
      </c>
      <c r="E473" t="s">
        <v>22</v>
      </c>
      <c r="F473" t="s">
        <v>35</v>
      </c>
      <c r="G473" t="s">
        <v>84</v>
      </c>
      <c r="H473" t="s">
        <v>51</v>
      </c>
      <c r="I473" t="s">
        <v>26</v>
      </c>
      <c r="J473" t="s">
        <v>27</v>
      </c>
      <c r="K473" s="1">
        <v>46220</v>
      </c>
      <c r="L473" t="s">
        <v>28</v>
      </c>
      <c r="M473" t="s">
        <v>37</v>
      </c>
      <c r="O473" t="s">
        <v>38</v>
      </c>
      <c r="Q473">
        <v>17</v>
      </c>
      <c r="T473" t="str">
        <f>IF(RecruitmentTable[[#This Row],[Final Status]]="In process","Screening",IF(RecruitmentTable[[#This Row],[Final Status]]="Selected","Offer","Rejected"))</f>
        <v>Rejected</v>
      </c>
      <c r="U473">
        <f>IF(RecruitmentTable[[#This Row],[Final Status]]="Selected",1,0)</f>
        <v>0</v>
      </c>
    </row>
    <row r="474" spans="1:21" x14ac:dyDescent="0.25">
      <c r="A474" t="s">
        <v>757</v>
      </c>
      <c r="B474" t="s">
        <v>518</v>
      </c>
      <c r="C474" s="1">
        <v>46129</v>
      </c>
      <c r="D474" t="s">
        <v>56</v>
      </c>
      <c r="E474" t="s">
        <v>34</v>
      </c>
      <c r="F474" t="s">
        <v>57</v>
      </c>
      <c r="G474" t="s">
        <v>24</v>
      </c>
      <c r="H474" t="s">
        <v>51</v>
      </c>
      <c r="I474" t="s">
        <v>26</v>
      </c>
      <c r="J474" t="s">
        <v>27</v>
      </c>
      <c r="K474" s="1">
        <v>46143</v>
      </c>
      <c r="L474" t="s">
        <v>28</v>
      </c>
      <c r="M474" t="s">
        <v>37</v>
      </c>
      <c r="O474" t="s">
        <v>38</v>
      </c>
      <c r="Q474">
        <v>14</v>
      </c>
      <c r="T474" t="str">
        <f>IF(RecruitmentTable[[#This Row],[Final Status]]="In process","Screening",IF(RecruitmentTable[[#This Row],[Final Status]]="Selected","Offer","Rejected"))</f>
        <v>Rejected</v>
      </c>
      <c r="U474">
        <f>IF(RecruitmentTable[[#This Row],[Final Status]]="Selected",1,0)</f>
        <v>0</v>
      </c>
    </row>
    <row r="475" spans="1:21" x14ac:dyDescent="0.25">
      <c r="A475" t="s">
        <v>758</v>
      </c>
      <c r="B475" t="s">
        <v>759</v>
      </c>
      <c r="C475" s="1">
        <v>46203</v>
      </c>
      <c r="D475" t="s">
        <v>21</v>
      </c>
      <c r="E475" t="s">
        <v>22</v>
      </c>
      <c r="F475" t="s">
        <v>100</v>
      </c>
      <c r="G475" t="s">
        <v>24</v>
      </c>
      <c r="H475" t="s">
        <v>44</v>
      </c>
      <c r="I475" t="s">
        <v>26</v>
      </c>
      <c r="J475" t="s">
        <v>27</v>
      </c>
      <c r="K475" s="1">
        <v>46209</v>
      </c>
      <c r="L475" t="s">
        <v>28</v>
      </c>
      <c r="M475" t="s">
        <v>29</v>
      </c>
      <c r="O475" t="s">
        <v>38</v>
      </c>
      <c r="Q475">
        <v>6</v>
      </c>
      <c r="T475" t="str">
        <f>IF(RecruitmentTable[[#This Row],[Final Status]]="In process","Screening",IF(RecruitmentTable[[#This Row],[Final Status]]="Selected","Offer","Rejected"))</f>
        <v>Offer</v>
      </c>
      <c r="U475">
        <f>IF(RecruitmentTable[[#This Row],[Final Status]]="Selected",1,0)</f>
        <v>1</v>
      </c>
    </row>
    <row r="476" spans="1:21" x14ac:dyDescent="0.25">
      <c r="A476" t="s">
        <v>760</v>
      </c>
      <c r="B476" t="s">
        <v>70</v>
      </c>
      <c r="C476" s="1">
        <v>46204</v>
      </c>
      <c r="D476" t="s">
        <v>65</v>
      </c>
      <c r="E476" t="s">
        <v>42</v>
      </c>
      <c r="F476" t="s">
        <v>35</v>
      </c>
      <c r="G476" t="s">
        <v>71</v>
      </c>
      <c r="H476" t="s">
        <v>44</v>
      </c>
      <c r="I476" t="s">
        <v>26</v>
      </c>
      <c r="J476" t="s">
        <v>38</v>
      </c>
      <c r="K476" s="1"/>
      <c r="L476" t="s">
        <v>58</v>
      </c>
      <c r="M476" t="s">
        <v>59</v>
      </c>
      <c r="O476" t="s">
        <v>38</v>
      </c>
      <c r="T476" t="str">
        <f>IF(RecruitmentTable[[#This Row],[Final Status]]="In process","Screening",IF(RecruitmentTable[[#This Row],[Final Status]]="Selected","Offer","Rejected"))</f>
        <v>Screening</v>
      </c>
      <c r="U476">
        <f>IF(RecruitmentTable[[#This Row],[Final Status]]="Selected",1,0)</f>
        <v>0</v>
      </c>
    </row>
    <row r="477" spans="1:21" x14ac:dyDescent="0.25">
      <c r="A477" t="s">
        <v>761</v>
      </c>
      <c r="B477" t="s">
        <v>195</v>
      </c>
      <c r="C477" s="1">
        <v>46247</v>
      </c>
      <c r="D477" t="s">
        <v>65</v>
      </c>
      <c r="E477" t="s">
        <v>42</v>
      </c>
      <c r="F477" t="s">
        <v>57</v>
      </c>
      <c r="G477" t="s">
        <v>71</v>
      </c>
      <c r="H477" t="s">
        <v>25</v>
      </c>
      <c r="I477" t="s">
        <v>37</v>
      </c>
      <c r="J477" t="s">
        <v>38</v>
      </c>
      <c r="K477" s="1"/>
      <c r="L477" t="s">
        <v>38</v>
      </c>
      <c r="M477" t="s">
        <v>37</v>
      </c>
      <c r="O477" t="s">
        <v>38</v>
      </c>
      <c r="T477" t="str">
        <f>IF(RecruitmentTable[[#This Row],[Final Status]]="In process","Screening",IF(RecruitmentTable[[#This Row],[Final Status]]="Selected","Offer","Rejected"))</f>
        <v>Rejected</v>
      </c>
      <c r="U477">
        <f>IF(RecruitmentTable[[#This Row],[Final Status]]="Selected",1,0)</f>
        <v>0</v>
      </c>
    </row>
    <row r="478" spans="1:21" x14ac:dyDescent="0.25">
      <c r="A478" t="s">
        <v>762</v>
      </c>
      <c r="B478" t="s">
        <v>223</v>
      </c>
      <c r="C478" s="1">
        <v>46207</v>
      </c>
      <c r="D478" t="s">
        <v>21</v>
      </c>
      <c r="E478" t="s">
        <v>22</v>
      </c>
      <c r="F478" t="s">
        <v>50</v>
      </c>
      <c r="G478" t="s">
        <v>24</v>
      </c>
      <c r="H478" t="s">
        <v>51</v>
      </c>
      <c r="I478" t="s">
        <v>26</v>
      </c>
      <c r="J478" t="s">
        <v>27</v>
      </c>
      <c r="K478" s="1">
        <v>46219</v>
      </c>
      <c r="L478" t="s">
        <v>28</v>
      </c>
      <c r="M478" t="s">
        <v>37</v>
      </c>
      <c r="O478" t="s">
        <v>38</v>
      </c>
      <c r="Q478">
        <v>12</v>
      </c>
      <c r="T478" t="str">
        <f>IF(RecruitmentTable[[#This Row],[Final Status]]="In process","Screening",IF(RecruitmentTable[[#This Row],[Final Status]]="Selected","Offer","Rejected"))</f>
        <v>Rejected</v>
      </c>
      <c r="U478">
        <f>IF(RecruitmentTable[[#This Row],[Final Status]]="Selected",1,0)</f>
        <v>0</v>
      </c>
    </row>
    <row r="479" spans="1:21" x14ac:dyDescent="0.25">
      <c r="A479" t="s">
        <v>763</v>
      </c>
      <c r="B479" t="s">
        <v>332</v>
      </c>
      <c r="C479" s="1">
        <v>46223</v>
      </c>
      <c r="D479" t="s">
        <v>65</v>
      </c>
      <c r="E479" t="s">
        <v>42</v>
      </c>
      <c r="F479" t="s">
        <v>23</v>
      </c>
      <c r="G479" t="s">
        <v>47</v>
      </c>
      <c r="H479" t="s">
        <v>44</v>
      </c>
      <c r="I479" t="s">
        <v>37</v>
      </c>
      <c r="J479" t="s">
        <v>38</v>
      </c>
      <c r="K479" s="1"/>
      <c r="L479" t="s">
        <v>38</v>
      </c>
      <c r="M479" t="s">
        <v>37</v>
      </c>
      <c r="O479" t="s">
        <v>38</v>
      </c>
      <c r="T479" t="str">
        <f>IF(RecruitmentTable[[#This Row],[Final Status]]="In process","Screening",IF(RecruitmentTable[[#This Row],[Final Status]]="Selected","Offer","Rejected"))</f>
        <v>Rejected</v>
      </c>
      <c r="U479">
        <f>IF(RecruitmentTable[[#This Row],[Final Status]]="Selected",1,0)</f>
        <v>0</v>
      </c>
    </row>
    <row r="480" spans="1:21" x14ac:dyDescent="0.25">
      <c r="A480" t="s">
        <v>764</v>
      </c>
      <c r="B480" t="s">
        <v>449</v>
      </c>
      <c r="C480" s="1">
        <v>46186</v>
      </c>
      <c r="D480" t="s">
        <v>41</v>
      </c>
      <c r="E480" t="s">
        <v>42</v>
      </c>
      <c r="F480" t="s">
        <v>50</v>
      </c>
      <c r="G480" t="s">
        <v>84</v>
      </c>
      <c r="H480" t="s">
        <v>51</v>
      </c>
      <c r="I480" t="s">
        <v>26</v>
      </c>
      <c r="J480" t="s">
        <v>38</v>
      </c>
      <c r="K480" s="1"/>
      <c r="L480" t="s">
        <v>58</v>
      </c>
      <c r="M480" t="s">
        <v>59</v>
      </c>
      <c r="O480" t="s">
        <v>38</v>
      </c>
      <c r="T480" t="str">
        <f>IF(RecruitmentTable[[#This Row],[Final Status]]="In process","Screening",IF(RecruitmentTable[[#This Row],[Final Status]]="Selected","Offer","Rejected"))</f>
        <v>Screening</v>
      </c>
      <c r="U480">
        <f>IF(RecruitmentTable[[#This Row],[Final Status]]="Selected",1,0)</f>
        <v>0</v>
      </c>
    </row>
    <row r="481" spans="1:21" x14ac:dyDescent="0.25">
      <c r="A481" t="s">
        <v>765</v>
      </c>
      <c r="B481" t="s">
        <v>244</v>
      </c>
      <c r="C481" s="1">
        <v>46132</v>
      </c>
      <c r="D481" t="s">
        <v>41</v>
      </c>
      <c r="E481" t="s">
        <v>42</v>
      </c>
      <c r="F481" t="s">
        <v>43</v>
      </c>
      <c r="G481" t="s">
        <v>36</v>
      </c>
      <c r="H481" t="s">
        <v>51</v>
      </c>
      <c r="I481" t="s">
        <v>26</v>
      </c>
      <c r="J481" t="s">
        <v>27</v>
      </c>
      <c r="K481" s="1">
        <v>46139</v>
      </c>
      <c r="L481" t="s">
        <v>28</v>
      </c>
      <c r="M481" t="s">
        <v>37</v>
      </c>
      <c r="O481" t="s">
        <v>38</v>
      </c>
      <c r="Q481">
        <v>7</v>
      </c>
      <c r="T481" t="str">
        <f>IF(RecruitmentTable[[#This Row],[Final Status]]="In process","Screening",IF(RecruitmentTable[[#This Row],[Final Status]]="Selected","Offer","Rejected"))</f>
        <v>Rejected</v>
      </c>
      <c r="U481">
        <f>IF(RecruitmentTable[[#This Row],[Final Status]]="Selected",1,0)</f>
        <v>0</v>
      </c>
    </row>
    <row r="482" spans="1:21" x14ac:dyDescent="0.25">
      <c r="A482" t="s">
        <v>766</v>
      </c>
      <c r="B482" t="s">
        <v>677</v>
      </c>
      <c r="C482" s="1">
        <v>46239</v>
      </c>
      <c r="D482" t="s">
        <v>56</v>
      </c>
      <c r="E482" t="s">
        <v>34</v>
      </c>
      <c r="F482" t="s">
        <v>35</v>
      </c>
      <c r="G482" t="s">
        <v>47</v>
      </c>
      <c r="H482" t="s">
        <v>62</v>
      </c>
      <c r="I482" t="s">
        <v>26</v>
      </c>
      <c r="J482" t="s">
        <v>38</v>
      </c>
      <c r="K482" s="1"/>
      <c r="L482" t="s">
        <v>58</v>
      </c>
      <c r="M482" t="s">
        <v>59</v>
      </c>
      <c r="O482" t="s">
        <v>38</v>
      </c>
      <c r="T482" t="str">
        <f>IF(RecruitmentTable[[#This Row],[Final Status]]="In process","Screening",IF(RecruitmentTable[[#This Row],[Final Status]]="Selected","Offer","Rejected"))</f>
        <v>Screening</v>
      </c>
      <c r="U482">
        <f>IF(RecruitmentTable[[#This Row],[Final Status]]="Selected",1,0)</f>
        <v>0</v>
      </c>
    </row>
    <row r="483" spans="1:21" x14ac:dyDescent="0.25">
      <c r="A483" t="s">
        <v>767</v>
      </c>
      <c r="B483" t="s">
        <v>244</v>
      </c>
      <c r="C483" s="1">
        <v>46171</v>
      </c>
      <c r="D483" t="s">
        <v>65</v>
      </c>
      <c r="E483" t="s">
        <v>42</v>
      </c>
      <c r="F483" t="s">
        <v>57</v>
      </c>
      <c r="G483" t="s">
        <v>36</v>
      </c>
      <c r="H483" t="s">
        <v>44</v>
      </c>
      <c r="I483" t="s">
        <v>26</v>
      </c>
      <c r="J483" t="s">
        <v>27</v>
      </c>
      <c r="K483" s="1">
        <v>46181</v>
      </c>
      <c r="L483" t="s">
        <v>28</v>
      </c>
      <c r="M483" t="s">
        <v>37</v>
      </c>
      <c r="O483" t="s">
        <v>38</v>
      </c>
      <c r="Q483">
        <v>10</v>
      </c>
      <c r="T483" t="str">
        <f>IF(RecruitmentTable[[#This Row],[Final Status]]="In process","Screening",IF(RecruitmentTable[[#This Row],[Final Status]]="Selected","Offer","Rejected"))</f>
        <v>Rejected</v>
      </c>
      <c r="U483">
        <f>IF(RecruitmentTable[[#This Row],[Final Status]]="Selected",1,0)</f>
        <v>0</v>
      </c>
    </row>
    <row r="484" spans="1:21" x14ac:dyDescent="0.25">
      <c r="A484" t="s">
        <v>768</v>
      </c>
      <c r="B484" t="s">
        <v>244</v>
      </c>
      <c r="C484" s="1">
        <v>46066</v>
      </c>
      <c r="D484" t="s">
        <v>33</v>
      </c>
      <c r="E484" t="s">
        <v>34</v>
      </c>
      <c r="F484" t="s">
        <v>35</v>
      </c>
      <c r="G484" t="s">
        <v>36</v>
      </c>
      <c r="H484" t="s">
        <v>25</v>
      </c>
      <c r="I484" t="s">
        <v>26</v>
      </c>
      <c r="J484" t="s">
        <v>27</v>
      </c>
      <c r="K484" s="1">
        <v>46080</v>
      </c>
      <c r="L484" t="s">
        <v>28</v>
      </c>
      <c r="M484" t="s">
        <v>37</v>
      </c>
      <c r="O484" t="s">
        <v>38</v>
      </c>
      <c r="Q484">
        <v>14</v>
      </c>
      <c r="T484" t="str">
        <f>IF(RecruitmentTable[[#This Row],[Final Status]]="In process","Screening",IF(RecruitmentTable[[#This Row],[Final Status]]="Selected","Offer","Rejected"))</f>
        <v>Rejected</v>
      </c>
      <c r="U484">
        <f>IF(RecruitmentTable[[#This Row],[Final Status]]="Selected",1,0)</f>
        <v>0</v>
      </c>
    </row>
    <row r="485" spans="1:21" x14ac:dyDescent="0.25">
      <c r="A485" t="s">
        <v>769</v>
      </c>
      <c r="B485" t="s">
        <v>635</v>
      </c>
      <c r="C485" s="1">
        <v>46065</v>
      </c>
      <c r="D485" t="s">
        <v>41</v>
      </c>
      <c r="E485" t="s">
        <v>42</v>
      </c>
      <c r="F485" t="s">
        <v>43</v>
      </c>
      <c r="G485" t="s">
        <v>71</v>
      </c>
      <c r="H485" t="s">
        <v>62</v>
      </c>
      <c r="I485" t="s">
        <v>26</v>
      </c>
      <c r="J485" t="s">
        <v>27</v>
      </c>
      <c r="K485" s="1">
        <v>46081</v>
      </c>
      <c r="L485" t="s">
        <v>28</v>
      </c>
      <c r="M485" t="s">
        <v>37</v>
      </c>
      <c r="O485" t="s">
        <v>38</v>
      </c>
      <c r="Q485">
        <v>16</v>
      </c>
      <c r="T485" t="str">
        <f>IF(RecruitmentTable[[#This Row],[Final Status]]="In process","Screening",IF(RecruitmentTable[[#This Row],[Final Status]]="Selected","Offer","Rejected"))</f>
        <v>Rejected</v>
      </c>
      <c r="U485">
        <f>IF(RecruitmentTable[[#This Row],[Final Status]]="Selected",1,0)</f>
        <v>0</v>
      </c>
    </row>
    <row r="486" spans="1:21" x14ac:dyDescent="0.25">
      <c r="A486" t="s">
        <v>770</v>
      </c>
      <c r="B486" t="s">
        <v>771</v>
      </c>
      <c r="C486" s="1">
        <v>46155</v>
      </c>
      <c r="D486" t="s">
        <v>83</v>
      </c>
      <c r="E486" t="s">
        <v>34</v>
      </c>
      <c r="F486" t="s">
        <v>35</v>
      </c>
      <c r="G486" t="s">
        <v>24</v>
      </c>
      <c r="H486" t="s">
        <v>51</v>
      </c>
      <c r="I486" t="s">
        <v>37</v>
      </c>
      <c r="J486" t="s">
        <v>38</v>
      </c>
      <c r="K486" s="1"/>
      <c r="L486" t="s">
        <v>38</v>
      </c>
      <c r="M486" t="s">
        <v>37</v>
      </c>
      <c r="O486" t="s">
        <v>38</v>
      </c>
      <c r="T486" t="str">
        <f>IF(RecruitmentTable[[#This Row],[Final Status]]="In process","Screening",IF(RecruitmentTable[[#This Row],[Final Status]]="Selected","Offer","Rejected"))</f>
        <v>Rejected</v>
      </c>
      <c r="U486">
        <f>IF(RecruitmentTable[[#This Row],[Final Status]]="Selected",1,0)</f>
        <v>0</v>
      </c>
    </row>
    <row r="487" spans="1:21" x14ac:dyDescent="0.25">
      <c r="A487" t="s">
        <v>772</v>
      </c>
      <c r="B487" t="s">
        <v>773</v>
      </c>
      <c r="C487" s="1">
        <v>46151</v>
      </c>
      <c r="D487" t="s">
        <v>56</v>
      </c>
      <c r="E487" t="s">
        <v>34</v>
      </c>
      <c r="F487" t="s">
        <v>57</v>
      </c>
      <c r="G487" t="s">
        <v>24</v>
      </c>
      <c r="H487" t="s">
        <v>62</v>
      </c>
      <c r="I487" t="s">
        <v>26</v>
      </c>
      <c r="J487" t="s">
        <v>38</v>
      </c>
      <c r="K487" s="1"/>
      <c r="L487" t="s">
        <v>58</v>
      </c>
      <c r="M487" t="s">
        <v>59</v>
      </c>
      <c r="O487" t="s">
        <v>38</v>
      </c>
      <c r="T487" t="str">
        <f>IF(RecruitmentTable[[#This Row],[Final Status]]="In process","Screening",IF(RecruitmentTable[[#This Row],[Final Status]]="Selected","Offer","Rejected"))</f>
        <v>Screening</v>
      </c>
      <c r="U487">
        <f>IF(RecruitmentTable[[#This Row],[Final Status]]="Selected",1,0)</f>
        <v>0</v>
      </c>
    </row>
    <row r="488" spans="1:21" x14ac:dyDescent="0.25">
      <c r="A488" t="s">
        <v>774</v>
      </c>
      <c r="B488" t="s">
        <v>775</v>
      </c>
      <c r="C488" s="1">
        <v>46068</v>
      </c>
      <c r="D488" t="s">
        <v>83</v>
      </c>
      <c r="E488" t="s">
        <v>34</v>
      </c>
      <c r="F488" t="s">
        <v>35</v>
      </c>
      <c r="G488" t="s">
        <v>84</v>
      </c>
      <c r="H488" t="s">
        <v>72</v>
      </c>
      <c r="I488" t="s">
        <v>26</v>
      </c>
      <c r="J488" t="s">
        <v>27</v>
      </c>
      <c r="K488" s="1">
        <v>46084</v>
      </c>
      <c r="L488" t="s">
        <v>28</v>
      </c>
      <c r="M488" t="s">
        <v>37</v>
      </c>
      <c r="O488" t="s">
        <v>38</v>
      </c>
      <c r="Q488">
        <v>16</v>
      </c>
      <c r="T488" t="str">
        <f>IF(RecruitmentTable[[#This Row],[Final Status]]="In process","Screening",IF(RecruitmentTable[[#This Row],[Final Status]]="Selected","Offer","Rejected"))</f>
        <v>Rejected</v>
      </c>
      <c r="U488">
        <f>IF(RecruitmentTable[[#This Row],[Final Status]]="Selected",1,0)</f>
        <v>0</v>
      </c>
    </row>
    <row r="489" spans="1:21" x14ac:dyDescent="0.25">
      <c r="A489" t="s">
        <v>776</v>
      </c>
      <c r="B489" t="s">
        <v>777</v>
      </c>
      <c r="C489" s="1">
        <v>46183</v>
      </c>
      <c r="D489" t="s">
        <v>65</v>
      </c>
      <c r="E489" t="s">
        <v>42</v>
      </c>
      <c r="F489" t="s">
        <v>35</v>
      </c>
      <c r="G489" t="s">
        <v>24</v>
      </c>
      <c r="H489" t="s">
        <v>44</v>
      </c>
      <c r="I489" t="s">
        <v>37</v>
      </c>
      <c r="J489" t="s">
        <v>38</v>
      </c>
      <c r="K489" s="1"/>
      <c r="L489" t="s">
        <v>38</v>
      </c>
      <c r="M489" t="s">
        <v>37</v>
      </c>
      <c r="O489" t="s">
        <v>38</v>
      </c>
      <c r="T489" t="str">
        <f>IF(RecruitmentTable[[#This Row],[Final Status]]="In process","Screening",IF(RecruitmentTable[[#This Row],[Final Status]]="Selected","Offer","Rejected"))</f>
        <v>Rejected</v>
      </c>
      <c r="U489">
        <f>IF(RecruitmentTable[[#This Row],[Final Status]]="Selected",1,0)</f>
        <v>0</v>
      </c>
    </row>
    <row r="490" spans="1:21" x14ac:dyDescent="0.25">
      <c r="A490" t="s">
        <v>778</v>
      </c>
      <c r="B490" t="s">
        <v>621</v>
      </c>
      <c r="C490" s="1">
        <v>46189</v>
      </c>
      <c r="D490" t="s">
        <v>33</v>
      </c>
      <c r="E490" t="s">
        <v>34</v>
      </c>
      <c r="F490" t="s">
        <v>50</v>
      </c>
      <c r="G490" t="s">
        <v>36</v>
      </c>
      <c r="H490" t="s">
        <v>25</v>
      </c>
      <c r="I490" t="s">
        <v>37</v>
      </c>
      <c r="J490" t="s">
        <v>38</v>
      </c>
      <c r="K490" s="1"/>
      <c r="L490" t="s">
        <v>38</v>
      </c>
      <c r="M490" t="s">
        <v>37</v>
      </c>
      <c r="O490" t="s">
        <v>38</v>
      </c>
      <c r="T490" t="str">
        <f>IF(RecruitmentTable[[#This Row],[Final Status]]="In process","Screening",IF(RecruitmentTable[[#This Row],[Final Status]]="Selected","Offer","Rejected"))</f>
        <v>Rejected</v>
      </c>
      <c r="U490">
        <f>IF(RecruitmentTable[[#This Row],[Final Status]]="Selected",1,0)</f>
        <v>0</v>
      </c>
    </row>
    <row r="491" spans="1:21" x14ac:dyDescent="0.25">
      <c r="A491" t="s">
        <v>779</v>
      </c>
      <c r="B491" t="s">
        <v>321</v>
      </c>
      <c r="C491" s="1">
        <v>46108</v>
      </c>
      <c r="D491" t="s">
        <v>56</v>
      </c>
      <c r="E491" t="s">
        <v>34</v>
      </c>
      <c r="F491" t="s">
        <v>23</v>
      </c>
      <c r="G491" t="s">
        <v>36</v>
      </c>
      <c r="H491" t="s">
        <v>62</v>
      </c>
      <c r="I491" t="s">
        <v>26</v>
      </c>
      <c r="J491" t="s">
        <v>27</v>
      </c>
      <c r="K491" s="1">
        <v>46114</v>
      </c>
      <c r="L491" t="s">
        <v>28</v>
      </c>
      <c r="M491" t="s">
        <v>37</v>
      </c>
      <c r="O491" t="s">
        <v>38</v>
      </c>
      <c r="Q491">
        <v>6</v>
      </c>
      <c r="T491" t="str">
        <f>IF(RecruitmentTable[[#This Row],[Final Status]]="In process","Screening",IF(RecruitmentTable[[#This Row],[Final Status]]="Selected","Offer","Rejected"))</f>
        <v>Rejected</v>
      </c>
      <c r="U491">
        <f>IF(RecruitmentTable[[#This Row],[Final Status]]="Selected",1,0)</f>
        <v>0</v>
      </c>
    </row>
    <row r="492" spans="1:21" x14ac:dyDescent="0.25">
      <c r="A492" t="s">
        <v>780</v>
      </c>
      <c r="B492" t="s">
        <v>707</v>
      </c>
      <c r="C492" s="1">
        <v>46159</v>
      </c>
      <c r="D492" t="s">
        <v>41</v>
      </c>
      <c r="E492" t="s">
        <v>42</v>
      </c>
      <c r="F492" t="s">
        <v>57</v>
      </c>
      <c r="G492" t="s">
        <v>24</v>
      </c>
      <c r="H492" t="s">
        <v>44</v>
      </c>
      <c r="I492" t="s">
        <v>26</v>
      </c>
      <c r="J492" t="s">
        <v>27</v>
      </c>
      <c r="K492" s="1">
        <v>46164</v>
      </c>
      <c r="L492" t="s">
        <v>28</v>
      </c>
      <c r="M492" t="s">
        <v>29</v>
      </c>
      <c r="N492" s="1">
        <v>46168</v>
      </c>
      <c r="O492" t="s">
        <v>227</v>
      </c>
      <c r="Q492">
        <v>5</v>
      </c>
      <c r="R492">
        <v>4</v>
      </c>
      <c r="T492" t="str">
        <f>IF(RecruitmentTable[[#This Row],[Final Status]]="In process","Screening",IF(RecruitmentTable[[#This Row],[Final Status]]="Selected","Offer","Rejected"))</f>
        <v>Offer</v>
      </c>
      <c r="U492">
        <f>IF(RecruitmentTable[[#This Row],[Final Status]]="Selected",1,0)</f>
        <v>1</v>
      </c>
    </row>
    <row r="493" spans="1:21" x14ac:dyDescent="0.25">
      <c r="A493" t="s">
        <v>781</v>
      </c>
      <c r="B493" t="s">
        <v>380</v>
      </c>
      <c r="C493" s="1">
        <v>46252</v>
      </c>
      <c r="D493" t="s">
        <v>65</v>
      </c>
      <c r="E493" t="s">
        <v>42</v>
      </c>
      <c r="F493" t="s">
        <v>100</v>
      </c>
      <c r="G493" t="s">
        <v>24</v>
      </c>
      <c r="H493" t="s">
        <v>62</v>
      </c>
      <c r="I493" t="s">
        <v>26</v>
      </c>
      <c r="J493" t="s">
        <v>38</v>
      </c>
      <c r="K493" s="1"/>
      <c r="L493" t="s">
        <v>58</v>
      </c>
      <c r="M493" t="s">
        <v>59</v>
      </c>
      <c r="O493" t="s">
        <v>38</v>
      </c>
      <c r="T493" t="str">
        <f>IF(RecruitmentTable[[#This Row],[Final Status]]="In process","Screening",IF(RecruitmentTable[[#This Row],[Final Status]]="Selected","Offer","Rejected"))</f>
        <v>Screening</v>
      </c>
      <c r="U493">
        <f>IF(RecruitmentTable[[#This Row],[Final Status]]="Selected",1,0)</f>
        <v>0</v>
      </c>
    </row>
    <row r="494" spans="1:21" x14ac:dyDescent="0.25">
      <c r="A494" t="s">
        <v>782</v>
      </c>
      <c r="B494" t="s">
        <v>783</v>
      </c>
      <c r="C494" s="1">
        <v>46176</v>
      </c>
      <c r="D494" t="s">
        <v>21</v>
      </c>
      <c r="E494" t="s">
        <v>22</v>
      </c>
      <c r="F494" t="s">
        <v>100</v>
      </c>
      <c r="G494" t="s">
        <v>84</v>
      </c>
      <c r="H494" t="s">
        <v>25</v>
      </c>
      <c r="I494" t="s">
        <v>26</v>
      </c>
      <c r="J494" t="s">
        <v>27</v>
      </c>
      <c r="K494" s="1">
        <v>46188</v>
      </c>
      <c r="L494" t="s">
        <v>28</v>
      </c>
      <c r="M494" t="s">
        <v>29</v>
      </c>
      <c r="N494" s="1">
        <v>46193</v>
      </c>
      <c r="O494" t="s">
        <v>30</v>
      </c>
      <c r="P494" s="1">
        <v>46206</v>
      </c>
      <c r="Q494">
        <v>12</v>
      </c>
      <c r="R494">
        <v>5</v>
      </c>
      <c r="S494">
        <v>13</v>
      </c>
      <c r="T494" t="str">
        <f>IF(RecruitmentTable[[#This Row],[Final Status]]="In process","Screening",IF(RecruitmentTable[[#This Row],[Final Status]]="Selected","Offer","Rejected"))</f>
        <v>Offer</v>
      </c>
      <c r="U494">
        <f>IF(RecruitmentTable[[#This Row],[Final Status]]="Selected",1,0)</f>
        <v>1</v>
      </c>
    </row>
    <row r="495" spans="1:21" x14ac:dyDescent="0.25">
      <c r="A495" t="s">
        <v>784</v>
      </c>
      <c r="B495" t="s">
        <v>785</v>
      </c>
      <c r="C495" s="1">
        <v>46029</v>
      </c>
      <c r="D495" t="s">
        <v>83</v>
      </c>
      <c r="E495" t="s">
        <v>34</v>
      </c>
      <c r="F495" t="s">
        <v>100</v>
      </c>
      <c r="G495" t="s">
        <v>84</v>
      </c>
      <c r="H495" t="s">
        <v>25</v>
      </c>
      <c r="I495" t="s">
        <v>26</v>
      </c>
      <c r="J495" t="s">
        <v>27</v>
      </c>
      <c r="K495" s="1">
        <v>46042</v>
      </c>
      <c r="L495" t="s">
        <v>28</v>
      </c>
      <c r="M495" t="s">
        <v>37</v>
      </c>
      <c r="O495" t="s">
        <v>38</v>
      </c>
      <c r="Q495">
        <v>13</v>
      </c>
      <c r="T495" t="str">
        <f>IF(RecruitmentTable[[#This Row],[Final Status]]="In process","Screening",IF(RecruitmentTable[[#This Row],[Final Status]]="Selected","Offer","Rejected"))</f>
        <v>Rejected</v>
      </c>
      <c r="U495">
        <f>IF(RecruitmentTable[[#This Row],[Final Status]]="Selected",1,0)</f>
        <v>0</v>
      </c>
    </row>
    <row r="496" spans="1:21" x14ac:dyDescent="0.25">
      <c r="A496" t="s">
        <v>786</v>
      </c>
      <c r="B496" t="s">
        <v>707</v>
      </c>
      <c r="C496" s="1">
        <v>46186</v>
      </c>
      <c r="D496" t="s">
        <v>41</v>
      </c>
      <c r="E496" t="s">
        <v>42</v>
      </c>
      <c r="F496" t="s">
        <v>35</v>
      </c>
      <c r="G496" t="s">
        <v>24</v>
      </c>
      <c r="H496" t="s">
        <v>62</v>
      </c>
      <c r="I496" t="s">
        <v>26</v>
      </c>
      <c r="J496" t="s">
        <v>27</v>
      </c>
      <c r="K496" s="1">
        <v>46203</v>
      </c>
      <c r="L496" t="s">
        <v>28</v>
      </c>
      <c r="M496" t="s">
        <v>37</v>
      </c>
      <c r="O496" t="s">
        <v>38</v>
      </c>
      <c r="Q496">
        <v>17</v>
      </c>
      <c r="T496" t="str">
        <f>IF(RecruitmentTable[[#This Row],[Final Status]]="In process","Screening",IF(RecruitmentTable[[#This Row],[Final Status]]="Selected","Offer","Rejected"))</f>
        <v>Rejected</v>
      </c>
      <c r="U496">
        <f>IF(RecruitmentTable[[#This Row],[Final Status]]="Selected",1,0)</f>
        <v>0</v>
      </c>
    </row>
    <row r="497" spans="1:21" x14ac:dyDescent="0.25">
      <c r="A497" t="s">
        <v>787</v>
      </c>
      <c r="B497" t="s">
        <v>639</v>
      </c>
      <c r="C497" s="1">
        <v>46128</v>
      </c>
      <c r="D497" t="s">
        <v>65</v>
      </c>
      <c r="E497" t="s">
        <v>42</v>
      </c>
      <c r="F497" t="s">
        <v>35</v>
      </c>
      <c r="G497" t="s">
        <v>36</v>
      </c>
      <c r="H497" t="s">
        <v>51</v>
      </c>
      <c r="I497" t="s">
        <v>26</v>
      </c>
      <c r="J497" t="s">
        <v>38</v>
      </c>
      <c r="K497" s="1"/>
      <c r="L497" t="s">
        <v>58</v>
      </c>
      <c r="M497" t="s">
        <v>59</v>
      </c>
      <c r="O497" t="s">
        <v>38</v>
      </c>
      <c r="T497" t="str">
        <f>IF(RecruitmentTable[[#This Row],[Final Status]]="In process","Screening",IF(RecruitmentTable[[#This Row],[Final Status]]="Selected","Offer","Rejected"))</f>
        <v>Screening</v>
      </c>
      <c r="U497">
        <f>IF(RecruitmentTable[[#This Row],[Final Status]]="Selected",1,0)</f>
        <v>0</v>
      </c>
    </row>
    <row r="498" spans="1:21" x14ac:dyDescent="0.25">
      <c r="A498" t="s">
        <v>788</v>
      </c>
      <c r="B498" t="s">
        <v>567</v>
      </c>
      <c r="C498" s="1">
        <v>46232</v>
      </c>
      <c r="D498" t="s">
        <v>41</v>
      </c>
      <c r="E498" t="s">
        <v>42</v>
      </c>
      <c r="F498" t="s">
        <v>57</v>
      </c>
      <c r="G498" t="s">
        <v>24</v>
      </c>
      <c r="H498" t="s">
        <v>25</v>
      </c>
      <c r="I498" t="s">
        <v>26</v>
      </c>
      <c r="J498" t="s">
        <v>38</v>
      </c>
      <c r="K498" s="1"/>
      <c r="L498" t="s">
        <v>58</v>
      </c>
      <c r="M498" t="s">
        <v>59</v>
      </c>
      <c r="O498" t="s">
        <v>38</v>
      </c>
      <c r="T498" t="str">
        <f>IF(RecruitmentTable[[#This Row],[Final Status]]="In process","Screening",IF(RecruitmentTable[[#This Row],[Final Status]]="Selected","Offer","Rejected"))</f>
        <v>Screening</v>
      </c>
      <c r="U498">
        <f>IF(RecruitmentTable[[#This Row],[Final Status]]="Selected",1,0)</f>
        <v>0</v>
      </c>
    </row>
    <row r="499" spans="1:21" x14ac:dyDescent="0.25">
      <c r="A499" t="s">
        <v>789</v>
      </c>
      <c r="B499" t="s">
        <v>238</v>
      </c>
      <c r="C499" s="1">
        <v>46258</v>
      </c>
      <c r="D499" t="s">
        <v>83</v>
      </c>
      <c r="E499" t="s">
        <v>34</v>
      </c>
      <c r="F499" t="s">
        <v>50</v>
      </c>
      <c r="G499" t="s">
        <v>24</v>
      </c>
      <c r="H499" t="s">
        <v>62</v>
      </c>
      <c r="I499" t="s">
        <v>37</v>
      </c>
      <c r="J499" t="s">
        <v>38</v>
      </c>
      <c r="K499" s="1"/>
      <c r="L499" t="s">
        <v>38</v>
      </c>
      <c r="M499" t="s">
        <v>37</v>
      </c>
      <c r="O499" t="s">
        <v>38</v>
      </c>
      <c r="T499" t="str">
        <f>IF(RecruitmentTable[[#This Row],[Final Status]]="In process","Screening",IF(RecruitmentTable[[#This Row],[Final Status]]="Selected","Offer","Rejected"))</f>
        <v>Rejected</v>
      </c>
      <c r="U499">
        <f>IF(RecruitmentTable[[#This Row],[Final Status]]="Selected",1,0)</f>
        <v>0</v>
      </c>
    </row>
    <row r="500" spans="1:21" x14ac:dyDescent="0.25">
      <c r="A500" t="s">
        <v>790</v>
      </c>
      <c r="B500" t="s">
        <v>704</v>
      </c>
      <c r="C500" s="1">
        <v>46093</v>
      </c>
      <c r="D500" t="s">
        <v>65</v>
      </c>
      <c r="E500" t="s">
        <v>42</v>
      </c>
      <c r="F500" t="s">
        <v>35</v>
      </c>
      <c r="G500" t="s">
        <v>47</v>
      </c>
      <c r="H500" t="s">
        <v>25</v>
      </c>
      <c r="I500" t="s">
        <v>26</v>
      </c>
      <c r="J500" t="s">
        <v>27</v>
      </c>
      <c r="K500" s="1">
        <v>46107</v>
      </c>
      <c r="L500" t="s">
        <v>28</v>
      </c>
      <c r="M500" t="s">
        <v>37</v>
      </c>
      <c r="O500" t="s">
        <v>38</v>
      </c>
      <c r="Q500">
        <v>14</v>
      </c>
      <c r="T500" t="str">
        <f>IF(RecruitmentTable[[#This Row],[Final Status]]="In process","Screening",IF(RecruitmentTable[[#This Row],[Final Status]]="Selected","Offer","Rejected"))</f>
        <v>Rejected</v>
      </c>
      <c r="U500">
        <f>IF(RecruitmentTable[[#This Row],[Final Status]]="Selected",1,0)</f>
        <v>0</v>
      </c>
    </row>
    <row r="501" spans="1:21" x14ac:dyDescent="0.25">
      <c r="A501" t="s">
        <v>791</v>
      </c>
      <c r="B501" t="s">
        <v>699</v>
      </c>
      <c r="C501" s="1">
        <v>46168</v>
      </c>
      <c r="D501" t="s">
        <v>41</v>
      </c>
      <c r="E501" t="s">
        <v>42</v>
      </c>
      <c r="F501" t="s">
        <v>35</v>
      </c>
      <c r="G501" t="s">
        <v>47</v>
      </c>
      <c r="H501" t="s">
        <v>62</v>
      </c>
      <c r="I501" t="s">
        <v>26</v>
      </c>
      <c r="J501" t="s">
        <v>27</v>
      </c>
      <c r="K501" s="1">
        <v>46181</v>
      </c>
      <c r="L501" t="s">
        <v>28</v>
      </c>
      <c r="M501" t="s">
        <v>29</v>
      </c>
      <c r="O501" t="s">
        <v>38</v>
      </c>
      <c r="Q501">
        <v>13</v>
      </c>
      <c r="T501" t="str">
        <f>IF(RecruitmentTable[[#This Row],[Final Status]]="In process","Screening",IF(RecruitmentTable[[#This Row],[Final Status]]="Selected","Offer","Rejected"))</f>
        <v>Offer</v>
      </c>
      <c r="U501">
        <f>IF(RecruitmentTable[[#This Row],[Final Status]]="Selected",1,0)</f>
        <v>1</v>
      </c>
    </row>
    <row r="502" spans="1:21" x14ac:dyDescent="0.25">
      <c r="A502" t="s">
        <v>792</v>
      </c>
      <c r="B502" t="s">
        <v>49</v>
      </c>
      <c r="C502" s="1">
        <v>46154</v>
      </c>
      <c r="D502" t="s">
        <v>41</v>
      </c>
      <c r="E502" t="s">
        <v>42</v>
      </c>
      <c r="F502" t="s">
        <v>23</v>
      </c>
      <c r="G502" t="s">
        <v>84</v>
      </c>
      <c r="H502" t="s">
        <v>44</v>
      </c>
      <c r="I502" t="s">
        <v>37</v>
      </c>
      <c r="J502" t="s">
        <v>38</v>
      </c>
      <c r="K502" s="1"/>
      <c r="L502" t="s">
        <v>38</v>
      </c>
      <c r="M502" t="s">
        <v>37</v>
      </c>
      <c r="O502" t="s">
        <v>38</v>
      </c>
      <c r="T502" t="str">
        <f>IF(RecruitmentTable[[#This Row],[Final Status]]="In process","Screening",IF(RecruitmentTable[[#This Row],[Final Status]]="Selected","Offer","Rejected"))</f>
        <v>Rejected</v>
      </c>
      <c r="U502">
        <f>IF(RecruitmentTable[[#This Row],[Final Status]]="Selected",1,0)</f>
        <v>0</v>
      </c>
    </row>
    <row r="503" spans="1:21" x14ac:dyDescent="0.25">
      <c r="A503" t="s">
        <v>793</v>
      </c>
      <c r="B503" t="s">
        <v>195</v>
      </c>
      <c r="C503" s="1">
        <v>46203</v>
      </c>
      <c r="D503" t="s">
        <v>41</v>
      </c>
      <c r="E503" t="s">
        <v>42</v>
      </c>
      <c r="F503" t="s">
        <v>43</v>
      </c>
      <c r="G503" t="s">
        <v>71</v>
      </c>
      <c r="H503" t="s">
        <v>51</v>
      </c>
      <c r="I503" t="s">
        <v>37</v>
      </c>
      <c r="J503" t="s">
        <v>38</v>
      </c>
      <c r="K503" s="1"/>
      <c r="L503" t="s">
        <v>38</v>
      </c>
      <c r="M503" t="s">
        <v>37</v>
      </c>
      <c r="O503" t="s">
        <v>38</v>
      </c>
      <c r="T503" t="str">
        <f>IF(RecruitmentTable[[#This Row],[Final Status]]="In process","Screening",IF(RecruitmentTable[[#This Row],[Final Status]]="Selected","Offer","Rejected"))</f>
        <v>Rejected</v>
      </c>
      <c r="U503">
        <f>IF(RecruitmentTable[[#This Row],[Final Status]]="Selected",1,0)</f>
        <v>0</v>
      </c>
    </row>
    <row r="504" spans="1:21" x14ac:dyDescent="0.25">
      <c r="A504" t="s">
        <v>794</v>
      </c>
      <c r="B504" t="s">
        <v>695</v>
      </c>
      <c r="C504" s="1">
        <v>46092</v>
      </c>
      <c r="D504" t="s">
        <v>65</v>
      </c>
      <c r="E504" t="s">
        <v>42</v>
      </c>
      <c r="F504" t="s">
        <v>35</v>
      </c>
      <c r="G504" t="s">
        <v>47</v>
      </c>
      <c r="H504" t="s">
        <v>51</v>
      </c>
      <c r="I504" t="s">
        <v>37</v>
      </c>
      <c r="J504" t="s">
        <v>38</v>
      </c>
      <c r="K504" s="1"/>
      <c r="L504" t="s">
        <v>38</v>
      </c>
      <c r="M504" t="s">
        <v>37</v>
      </c>
      <c r="O504" t="s">
        <v>38</v>
      </c>
      <c r="T504" t="str">
        <f>IF(RecruitmentTable[[#This Row],[Final Status]]="In process","Screening",IF(RecruitmentTable[[#This Row],[Final Status]]="Selected","Offer","Rejected"))</f>
        <v>Rejected</v>
      </c>
      <c r="U504">
        <f>IF(RecruitmentTable[[#This Row],[Final Status]]="Selected",1,0)</f>
        <v>0</v>
      </c>
    </row>
    <row r="505" spans="1:21" x14ac:dyDescent="0.25">
      <c r="A505" t="s">
        <v>795</v>
      </c>
      <c r="B505" t="s">
        <v>255</v>
      </c>
      <c r="C505" s="1">
        <v>46271</v>
      </c>
      <c r="D505" t="s">
        <v>33</v>
      </c>
      <c r="E505" t="s">
        <v>34</v>
      </c>
      <c r="F505" t="s">
        <v>23</v>
      </c>
      <c r="G505" t="s">
        <v>24</v>
      </c>
      <c r="H505" t="s">
        <v>62</v>
      </c>
      <c r="I505" t="s">
        <v>26</v>
      </c>
      <c r="J505" t="s">
        <v>38</v>
      </c>
      <c r="K505" s="1"/>
      <c r="L505" t="s">
        <v>58</v>
      </c>
      <c r="M505" t="s">
        <v>59</v>
      </c>
      <c r="O505" t="s">
        <v>38</v>
      </c>
      <c r="T505" t="str">
        <f>IF(RecruitmentTable[[#This Row],[Final Status]]="In process","Screening",IF(RecruitmentTable[[#This Row],[Final Status]]="Selected","Offer","Rejected"))</f>
        <v>Screening</v>
      </c>
      <c r="U505">
        <f>IF(RecruitmentTable[[#This Row],[Final Status]]="Selected",1,0)</f>
        <v>0</v>
      </c>
    </row>
    <row r="506" spans="1:21" x14ac:dyDescent="0.25">
      <c r="A506" t="s">
        <v>796</v>
      </c>
      <c r="B506" t="s">
        <v>315</v>
      </c>
      <c r="C506" s="1">
        <v>46051</v>
      </c>
      <c r="D506" t="s">
        <v>56</v>
      </c>
      <c r="E506" t="s">
        <v>34</v>
      </c>
      <c r="F506" t="s">
        <v>43</v>
      </c>
      <c r="G506" t="s">
        <v>24</v>
      </c>
      <c r="H506" t="s">
        <v>44</v>
      </c>
      <c r="I506" t="s">
        <v>26</v>
      </c>
      <c r="J506" t="s">
        <v>27</v>
      </c>
      <c r="K506" s="1">
        <v>46060</v>
      </c>
      <c r="L506" t="s">
        <v>28</v>
      </c>
      <c r="M506" t="s">
        <v>29</v>
      </c>
      <c r="N506" s="1">
        <v>46066</v>
      </c>
      <c r="O506" t="s">
        <v>30</v>
      </c>
      <c r="P506" s="1">
        <v>46076</v>
      </c>
      <c r="Q506">
        <v>9</v>
      </c>
      <c r="R506">
        <v>6</v>
      </c>
      <c r="S506">
        <v>10</v>
      </c>
      <c r="T506" t="str">
        <f>IF(RecruitmentTable[[#This Row],[Final Status]]="In process","Screening",IF(RecruitmentTable[[#This Row],[Final Status]]="Selected","Offer","Rejected"))</f>
        <v>Offer</v>
      </c>
      <c r="U506">
        <f>IF(RecruitmentTable[[#This Row],[Final Status]]="Selected",1,0)</f>
        <v>1</v>
      </c>
    </row>
    <row r="507" spans="1:21" x14ac:dyDescent="0.25">
      <c r="A507" t="s">
        <v>797</v>
      </c>
      <c r="B507" t="s">
        <v>32</v>
      </c>
      <c r="C507" s="1">
        <v>46117</v>
      </c>
      <c r="D507" t="s">
        <v>21</v>
      </c>
      <c r="E507" t="s">
        <v>22</v>
      </c>
      <c r="F507" t="s">
        <v>35</v>
      </c>
      <c r="G507" t="s">
        <v>47</v>
      </c>
      <c r="H507" t="s">
        <v>72</v>
      </c>
      <c r="I507" t="s">
        <v>26</v>
      </c>
      <c r="J507" t="s">
        <v>27</v>
      </c>
      <c r="K507" s="1">
        <v>46130</v>
      </c>
      <c r="L507" t="s">
        <v>28</v>
      </c>
      <c r="M507" t="s">
        <v>29</v>
      </c>
      <c r="O507" t="s">
        <v>38</v>
      </c>
      <c r="Q507">
        <v>13</v>
      </c>
      <c r="T507" t="str">
        <f>IF(RecruitmentTable[[#This Row],[Final Status]]="In process","Screening",IF(RecruitmentTable[[#This Row],[Final Status]]="Selected","Offer","Rejected"))</f>
        <v>Offer</v>
      </c>
      <c r="U507">
        <f>IF(RecruitmentTable[[#This Row],[Final Status]]="Selected",1,0)</f>
        <v>1</v>
      </c>
    </row>
    <row r="508" spans="1:21" x14ac:dyDescent="0.25">
      <c r="A508" t="s">
        <v>798</v>
      </c>
      <c r="B508" t="s">
        <v>161</v>
      </c>
      <c r="C508" s="1">
        <v>46189</v>
      </c>
      <c r="D508" t="s">
        <v>65</v>
      </c>
      <c r="E508" t="s">
        <v>42</v>
      </c>
      <c r="F508" t="s">
        <v>50</v>
      </c>
      <c r="G508" t="s">
        <v>24</v>
      </c>
      <c r="H508" t="s">
        <v>72</v>
      </c>
      <c r="I508" t="s">
        <v>26</v>
      </c>
      <c r="J508" t="s">
        <v>38</v>
      </c>
      <c r="K508" s="1"/>
      <c r="L508" t="s">
        <v>58</v>
      </c>
      <c r="M508" t="s">
        <v>59</v>
      </c>
      <c r="O508" t="s">
        <v>38</v>
      </c>
      <c r="T508" t="str">
        <f>IF(RecruitmentTable[[#This Row],[Final Status]]="In process","Screening",IF(RecruitmentTable[[#This Row],[Final Status]]="Selected","Offer","Rejected"))</f>
        <v>Screening</v>
      </c>
      <c r="U508">
        <f>IF(RecruitmentTable[[#This Row],[Final Status]]="Selected",1,0)</f>
        <v>0</v>
      </c>
    </row>
    <row r="509" spans="1:21" x14ac:dyDescent="0.25">
      <c r="A509" t="s">
        <v>799</v>
      </c>
      <c r="B509" t="s">
        <v>115</v>
      </c>
      <c r="C509" s="1">
        <v>46219</v>
      </c>
      <c r="D509" t="s">
        <v>21</v>
      </c>
      <c r="E509" t="s">
        <v>22</v>
      </c>
      <c r="F509" t="s">
        <v>57</v>
      </c>
      <c r="G509" t="s">
        <v>36</v>
      </c>
      <c r="H509" t="s">
        <v>51</v>
      </c>
      <c r="I509" t="s">
        <v>26</v>
      </c>
      <c r="J509" t="s">
        <v>27</v>
      </c>
      <c r="K509" s="1">
        <v>46225</v>
      </c>
      <c r="L509" t="s">
        <v>28</v>
      </c>
      <c r="M509" t="s">
        <v>29</v>
      </c>
      <c r="N509" s="1">
        <v>46232</v>
      </c>
      <c r="O509" t="s">
        <v>30</v>
      </c>
      <c r="P509" s="1">
        <v>46253</v>
      </c>
      <c r="Q509">
        <v>6</v>
      </c>
      <c r="R509">
        <v>7</v>
      </c>
      <c r="S509">
        <v>21</v>
      </c>
      <c r="T509" t="str">
        <f>IF(RecruitmentTable[[#This Row],[Final Status]]="In process","Screening",IF(RecruitmentTable[[#This Row],[Final Status]]="Selected","Offer","Rejected"))</f>
        <v>Offer</v>
      </c>
      <c r="U509">
        <f>IF(RecruitmentTable[[#This Row],[Final Status]]="Selected",1,0)</f>
        <v>1</v>
      </c>
    </row>
    <row r="510" spans="1:21" x14ac:dyDescent="0.25">
      <c r="A510" t="s">
        <v>800</v>
      </c>
      <c r="B510" t="s">
        <v>801</v>
      </c>
      <c r="C510" s="1">
        <v>46099</v>
      </c>
      <c r="D510" t="s">
        <v>33</v>
      </c>
      <c r="E510" t="s">
        <v>34</v>
      </c>
      <c r="F510" t="s">
        <v>57</v>
      </c>
      <c r="G510" t="s">
        <v>47</v>
      </c>
      <c r="H510" t="s">
        <v>51</v>
      </c>
      <c r="I510" t="s">
        <v>26</v>
      </c>
      <c r="J510" t="s">
        <v>27</v>
      </c>
      <c r="K510" s="1">
        <v>46115</v>
      </c>
      <c r="L510" t="s">
        <v>28</v>
      </c>
      <c r="M510" t="s">
        <v>29</v>
      </c>
      <c r="N510" s="1">
        <v>46119</v>
      </c>
      <c r="O510" t="s">
        <v>30</v>
      </c>
      <c r="P510" s="1">
        <v>46144</v>
      </c>
      <c r="Q510">
        <v>16</v>
      </c>
      <c r="R510">
        <v>4</v>
      </c>
      <c r="S510">
        <v>25</v>
      </c>
      <c r="T510" t="str">
        <f>IF(RecruitmentTable[[#This Row],[Final Status]]="In process","Screening",IF(RecruitmentTable[[#This Row],[Final Status]]="Selected","Offer","Rejected"))</f>
        <v>Offer</v>
      </c>
      <c r="U510">
        <f>IF(RecruitmentTable[[#This Row],[Final Status]]="Selected",1,0)</f>
        <v>1</v>
      </c>
    </row>
    <row r="511" spans="1:21" x14ac:dyDescent="0.25">
      <c r="A511" t="s">
        <v>802</v>
      </c>
      <c r="B511" t="s">
        <v>469</v>
      </c>
      <c r="C511" s="1">
        <v>46037</v>
      </c>
      <c r="D511" t="s">
        <v>21</v>
      </c>
      <c r="E511" t="s">
        <v>22</v>
      </c>
      <c r="F511" t="s">
        <v>100</v>
      </c>
      <c r="G511" t="s">
        <v>47</v>
      </c>
      <c r="H511" t="s">
        <v>72</v>
      </c>
      <c r="I511" t="s">
        <v>37</v>
      </c>
      <c r="J511" t="s">
        <v>38</v>
      </c>
      <c r="K511" s="1"/>
      <c r="L511" t="s">
        <v>38</v>
      </c>
      <c r="M511" t="s">
        <v>37</v>
      </c>
      <c r="O511" t="s">
        <v>38</v>
      </c>
      <c r="T511" t="str">
        <f>IF(RecruitmentTable[[#This Row],[Final Status]]="In process","Screening",IF(RecruitmentTable[[#This Row],[Final Status]]="Selected","Offer","Rejected"))</f>
        <v>Rejected</v>
      </c>
      <c r="U511">
        <f>IF(RecruitmentTable[[#This Row],[Final Status]]="Selected",1,0)</f>
        <v>0</v>
      </c>
    </row>
    <row r="512" spans="1:21" x14ac:dyDescent="0.25">
      <c r="A512" t="s">
        <v>803</v>
      </c>
      <c r="B512" t="s">
        <v>113</v>
      </c>
      <c r="C512" s="1">
        <v>46230</v>
      </c>
      <c r="D512" t="s">
        <v>21</v>
      </c>
      <c r="E512" t="s">
        <v>22</v>
      </c>
      <c r="F512" t="s">
        <v>57</v>
      </c>
      <c r="G512" t="s">
        <v>84</v>
      </c>
      <c r="H512" t="s">
        <v>44</v>
      </c>
      <c r="I512" t="s">
        <v>37</v>
      </c>
      <c r="J512" t="s">
        <v>38</v>
      </c>
      <c r="K512" s="1"/>
      <c r="L512" t="s">
        <v>38</v>
      </c>
      <c r="M512" t="s">
        <v>37</v>
      </c>
      <c r="O512" t="s">
        <v>38</v>
      </c>
      <c r="T512" t="str">
        <f>IF(RecruitmentTable[[#This Row],[Final Status]]="In process","Screening",IF(RecruitmentTable[[#This Row],[Final Status]]="Selected","Offer","Rejected"))</f>
        <v>Rejected</v>
      </c>
      <c r="U512">
        <f>IF(RecruitmentTable[[#This Row],[Final Status]]="Selected",1,0)</f>
        <v>0</v>
      </c>
    </row>
    <row r="513" spans="1:21" x14ac:dyDescent="0.25">
      <c r="A513" t="s">
        <v>804</v>
      </c>
      <c r="B513" t="s">
        <v>805</v>
      </c>
      <c r="C513" s="1">
        <v>46193</v>
      </c>
      <c r="D513" t="s">
        <v>65</v>
      </c>
      <c r="E513" t="s">
        <v>42</v>
      </c>
      <c r="F513" t="s">
        <v>57</v>
      </c>
      <c r="G513" t="s">
        <v>71</v>
      </c>
      <c r="H513" t="s">
        <v>25</v>
      </c>
      <c r="I513" t="s">
        <v>26</v>
      </c>
      <c r="J513" t="s">
        <v>27</v>
      </c>
      <c r="K513" s="1">
        <v>46205</v>
      </c>
      <c r="L513" t="s">
        <v>28</v>
      </c>
      <c r="M513" t="s">
        <v>37</v>
      </c>
      <c r="O513" t="s">
        <v>38</v>
      </c>
      <c r="Q513">
        <v>12</v>
      </c>
      <c r="T513" t="str">
        <f>IF(RecruitmentTable[[#This Row],[Final Status]]="In process","Screening",IF(RecruitmentTable[[#This Row],[Final Status]]="Selected","Offer","Rejected"))</f>
        <v>Rejected</v>
      </c>
      <c r="U513">
        <f>IF(RecruitmentTable[[#This Row],[Final Status]]="Selected",1,0)</f>
        <v>0</v>
      </c>
    </row>
    <row r="514" spans="1:21" x14ac:dyDescent="0.25">
      <c r="A514" t="s">
        <v>806</v>
      </c>
      <c r="B514" t="s">
        <v>807</v>
      </c>
      <c r="C514" s="1">
        <v>46177</v>
      </c>
      <c r="D514" t="s">
        <v>21</v>
      </c>
      <c r="E514" t="s">
        <v>22</v>
      </c>
      <c r="F514" t="s">
        <v>50</v>
      </c>
      <c r="G514" t="s">
        <v>84</v>
      </c>
      <c r="H514" t="s">
        <v>44</v>
      </c>
      <c r="I514" t="s">
        <v>26</v>
      </c>
      <c r="J514" t="s">
        <v>27</v>
      </c>
      <c r="K514" s="1">
        <v>46188</v>
      </c>
      <c r="L514" t="s">
        <v>28</v>
      </c>
      <c r="M514" t="s">
        <v>29</v>
      </c>
      <c r="O514" t="s">
        <v>38</v>
      </c>
      <c r="Q514">
        <v>11</v>
      </c>
      <c r="T514" t="str">
        <f>IF(RecruitmentTable[[#This Row],[Final Status]]="In process","Screening",IF(RecruitmentTable[[#This Row],[Final Status]]="Selected","Offer","Rejected"))</f>
        <v>Offer</v>
      </c>
      <c r="U514">
        <f>IF(RecruitmentTable[[#This Row],[Final Status]]="Selected",1,0)</f>
        <v>1</v>
      </c>
    </row>
    <row r="515" spans="1:21" x14ac:dyDescent="0.25">
      <c r="A515" t="s">
        <v>808</v>
      </c>
      <c r="B515" t="s">
        <v>76</v>
      </c>
      <c r="C515" s="1">
        <v>46116</v>
      </c>
      <c r="D515" t="s">
        <v>83</v>
      </c>
      <c r="E515" t="s">
        <v>34</v>
      </c>
      <c r="F515" t="s">
        <v>57</v>
      </c>
      <c r="G515" t="s">
        <v>24</v>
      </c>
      <c r="H515" t="s">
        <v>51</v>
      </c>
      <c r="I515" t="s">
        <v>37</v>
      </c>
      <c r="J515" t="s">
        <v>38</v>
      </c>
      <c r="K515" s="1"/>
      <c r="L515" t="s">
        <v>38</v>
      </c>
      <c r="M515" t="s">
        <v>37</v>
      </c>
      <c r="O515" t="s">
        <v>38</v>
      </c>
      <c r="T515" t="str">
        <f>IF(RecruitmentTable[[#This Row],[Final Status]]="In process","Screening",IF(RecruitmentTable[[#This Row],[Final Status]]="Selected","Offer","Rejected"))</f>
        <v>Rejected</v>
      </c>
      <c r="U515">
        <f>IF(RecruitmentTable[[#This Row],[Final Status]]="Selected",1,0)</f>
        <v>0</v>
      </c>
    </row>
    <row r="516" spans="1:21" x14ac:dyDescent="0.25">
      <c r="A516" t="s">
        <v>809</v>
      </c>
      <c r="B516" t="s">
        <v>181</v>
      </c>
      <c r="C516" s="1">
        <v>46197</v>
      </c>
      <c r="D516" t="s">
        <v>33</v>
      </c>
      <c r="E516" t="s">
        <v>34</v>
      </c>
      <c r="F516" t="s">
        <v>57</v>
      </c>
      <c r="G516" t="s">
        <v>24</v>
      </c>
      <c r="H516" t="s">
        <v>72</v>
      </c>
      <c r="I516" t="s">
        <v>37</v>
      </c>
      <c r="J516" t="s">
        <v>38</v>
      </c>
      <c r="K516" s="1"/>
      <c r="L516" t="s">
        <v>38</v>
      </c>
      <c r="M516" t="s">
        <v>37</v>
      </c>
      <c r="O516" t="s">
        <v>38</v>
      </c>
      <c r="T516" t="str">
        <f>IF(RecruitmentTable[[#This Row],[Final Status]]="In process","Screening",IF(RecruitmentTable[[#This Row],[Final Status]]="Selected","Offer","Rejected"))</f>
        <v>Rejected</v>
      </c>
      <c r="U516">
        <f>IF(RecruitmentTable[[#This Row],[Final Status]]="Selected",1,0)</f>
        <v>0</v>
      </c>
    </row>
    <row r="517" spans="1:21" x14ac:dyDescent="0.25">
      <c r="A517" t="s">
        <v>810</v>
      </c>
      <c r="B517" t="s">
        <v>370</v>
      </c>
      <c r="C517" s="1">
        <v>46048</v>
      </c>
      <c r="D517" t="s">
        <v>33</v>
      </c>
      <c r="E517" t="s">
        <v>34</v>
      </c>
      <c r="F517" t="s">
        <v>57</v>
      </c>
      <c r="G517" t="s">
        <v>47</v>
      </c>
      <c r="H517" t="s">
        <v>72</v>
      </c>
      <c r="I517" t="s">
        <v>37</v>
      </c>
      <c r="J517" t="s">
        <v>38</v>
      </c>
      <c r="K517" s="1"/>
      <c r="L517" t="s">
        <v>38</v>
      </c>
      <c r="M517" t="s">
        <v>37</v>
      </c>
      <c r="O517" t="s">
        <v>38</v>
      </c>
      <c r="T517" t="str">
        <f>IF(RecruitmentTable[[#This Row],[Final Status]]="In process","Screening",IF(RecruitmentTable[[#This Row],[Final Status]]="Selected","Offer","Rejected"))</f>
        <v>Rejected</v>
      </c>
      <c r="U517">
        <f>IF(RecruitmentTable[[#This Row],[Final Status]]="Selected",1,0)</f>
        <v>0</v>
      </c>
    </row>
    <row r="518" spans="1:21" x14ac:dyDescent="0.25">
      <c r="A518" t="s">
        <v>811</v>
      </c>
      <c r="B518" t="s">
        <v>449</v>
      </c>
      <c r="C518" s="1">
        <v>46236</v>
      </c>
      <c r="D518" t="s">
        <v>41</v>
      </c>
      <c r="E518" t="s">
        <v>42</v>
      </c>
      <c r="F518" t="s">
        <v>43</v>
      </c>
      <c r="G518" t="s">
        <v>47</v>
      </c>
      <c r="H518" t="s">
        <v>44</v>
      </c>
      <c r="I518" t="s">
        <v>26</v>
      </c>
      <c r="J518" t="s">
        <v>27</v>
      </c>
      <c r="K518" s="1">
        <v>46250</v>
      </c>
      <c r="L518" t="s">
        <v>28</v>
      </c>
      <c r="M518" t="s">
        <v>37</v>
      </c>
      <c r="O518" t="s">
        <v>38</v>
      </c>
      <c r="Q518">
        <v>14</v>
      </c>
      <c r="T518" t="str">
        <f>IF(RecruitmentTable[[#This Row],[Final Status]]="In process","Screening",IF(RecruitmentTable[[#This Row],[Final Status]]="Selected","Offer","Rejected"))</f>
        <v>Rejected</v>
      </c>
      <c r="U518">
        <f>IF(RecruitmentTable[[#This Row],[Final Status]]="Selected",1,0)</f>
        <v>0</v>
      </c>
    </row>
    <row r="519" spans="1:21" x14ac:dyDescent="0.25">
      <c r="A519" t="s">
        <v>812</v>
      </c>
      <c r="B519" t="s">
        <v>530</v>
      </c>
      <c r="C519" s="1">
        <v>46148</v>
      </c>
      <c r="D519" t="s">
        <v>41</v>
      </c>
      <c r="E519" t="s">
        <v>42</v>
      </c>
      <c r="F519" t="s">
        <v>57</v>
      </c>
      <c r="G519" t="s">
        <v>71</v>
      </c>
      <c r="H519" t="s">
        <v>62</v>
      </c>
      <c r="I519" t="s">
        <v>26</v>
      </c>
      <c r="J519" t="s">
        <v>27</v>
      </c>
      <c r="K519" s="1">
        <v>46163</v>
      </c>
      <c r="L519" t="s">
        <v>28</v>
      </c>
      <c r="M519" t="s">
        <v>37</v>
      </c>
      <c r="O519" t="s">
        <v>38</v>
      </c>
      <c r="Q519">
        <v>15</v>
      </c>
      <c r="T519" t="str">
        <f>IF(RecruitmentTable[[#This Row],[Final Status]]="In process","Screening",IF(RecruitmentTable[[#This Row],[Final Status]]="Selected","Offer","Rejected"))</f>
        <v>Rejected</v>
      </c>
      <c r="U519">
        <f>IF(RecruitmentTable[[#This Row],[Final Status]]="Selected",1,0)</f>
        <v>0</v>
      </c>
    </row>
    <row r="520" spans="1:21" x14ac:dyDescent="0.25">
      <c r="A520" t="s">
        <v>813</v>
      </c>
      <c r="B520" t="s">
        <v>215</v>
      </c>
      <c r="C520" s="1">
        <v>46195</v>
      </c>
      <c r="D520" t="s">
        <v>41</v>
      </c>
      <c r="E520" t="s">
        <v>42</v>
      </c>
      <c r="F520" t="s">
        <v>100</v>
      </c>
      <c r="G520" t="s">
        <v>24</v>
      </c>
      <c r="H520" t="s">
        <v>25</v>
      </c>
      <c r="I520" t="s">
        <v>26</v>
      </c>
      <c r="J520" t="s">
        <v>27</v>
      </c>
      <c r="K520" s="1">
        <v>46204</v>
      </c>
      <c r="L520" t="s">
        <v>28</v>
      </c>
      <c r="M520" t="s">
        <v>37</v>
      </c>
      <c r="O520" t="s">
        <v>38</v>
      </c>
      <c r="Q520">
        <v>9</v>
      </c>
      <c r="T520" t="str">
        <f>IF(RecruitmentTable[[#This Row],[Final Status]]="In process","Screening",IF(RecruitmentTable[[#This Row],[Final Status]]="Selected","Offer","Rejected"))</f>
        <v>Rejected</v>
      </c>
      <c r="U520">
        <f>IF(RecruitmentTable[[#This Row],[Final Status]]="Selected",1,0)</f>
        <v>0</v>
      </c>
    </row>
    <row r="521" spans="1:21" x14ac:dyDescent="0.25">
      <c r="A521" t="s">
        <v>814</v>
      </c>
      <c r="B521" t="s">
        <v>189</v>
      </c>
      <c r="C521" s="1">
        <v>46180</v>
      </c>
      <c r="D521" t="s">
        <v>33</v>
      </c>
      <c r="E521" t="s">
        <v>34</v>
      </c>
      <c r="F521" t="s">
        <v>57</v>
      </c>
      <c r="G521" t="s">
        <v>84</v>
      </c>
      <c r="H521" t="s">
        <v>25</v>
      </c>
      <c r="I521" t="s">
        <v>26</v>
      </c>
      <c r="J521" t="s">
        <v>27</v>
      </c>
      <c r="K521" s="1">
        <v>46185</v>
      </c>
      <c r="L521" t="s">
        <v>28</v>
      </c>
      <c r="M521" t="s">
        <v>37</v>
      </c>
      <c r="O521" t="s">
        <v>38</v>
      </c>
      <c r="Q521">
        <v>5</v>
      </c>
      <c r="T521" t="str">
        <f>IF(RecruitmentTable[[#This Row],[Final Status]]="In process","Screening",IF(RecruitmentTable[[#This Row],[Final Status]]="Selected","Offer","Rejected"))</f>
        <v>Rejected</v>
      </c>
      <c r="U521">
        <f>IF(RecruitmentTable[[#This Row],[Final Status]]="Selected",1,0)</f>
        <v>0</v>
      </c>
    </row>
    <row r="522" spans="1:21" x14ac:dyDescent="0.25">
      <c r="A522" t="s">
        <v>815</v>
      </c>
      <c r="B522" t="s">
        <v>251</v>
      </c>
      <c r="C522" s="1">
        <v>46190</v>
      </c>
      <c r="D522" t="s">
        <v>56</v>
      </c>
      <c r="E522" t="s">
        <v>34</v>
      </c>
      <c r="F522" t="s">
        <v>57</v>
      </c>
      <c r="G522" t="s">
        <v>36</v>
      </c>
      <c r="H522" t="s">
        <v>62</v>
      </c>
      <c r="I522" t="s">
        <v>26</v>
      </c>
      <c r="J522" t="s">
        <v>38</v>
      </c>
      <c r="K522" s="1"/>
      <c r="L522" t="s">
        <v>58</v>
      </c>
      <c r="M522" t="s">
        <v>59</v>
      </c>
      <c r="O522" t="s">
        <v>38</v>
      </c>
      <c r="T522" t="str">
        <f>IF(RecruitmentTable[[#This Row],[Final Status]]="In process","Screening",IF(RecruitmentTable[[#This Row],[Final Status]]="Selected","Offer","Rejected"))</f>
        <v>Screening</v>
      </c>
      <c r="U522">
        <f>IF(RecruitmentTable[[#This Row],[Final Status]]="Selected",1,0)</f>
        <v>0</v>
      </c>
    </row>
    <row r="523" spans="1:21" x14ac:dyDescent="0.25">
      <c r="A523" t="s">
        <v>816</v>
      </c>
      <c r="B523" t="s">
        <v>817</v>
      </c>
      <c r="C523" s="1">
        <v>46043</v>
      </c>
      <c r="D523" t="s">
        <v>21</v>
      </c>
      <c r="E523" t="s">
        <v>22</v>
      </c>
      <c r="F523" t="s">
        <v>35</v>
      </c>
      <c r="G523" t="s">
        <v>36</v>
      </c>
      <c r="H523" t="s">
        <v>44</v>
      </c>
      <c r="I523" t="s">
        <v>26</v>
      </c>
      <c r="J523" t="s">
        <v>27</v>
      </c>
      <c r="K523" s="1">
        <v>46055</v>
      </c>
      <c r="L523" t="s">
        <v>28</v>
      </c>
      <c r="M523" t="s">
        <v>37</v>
      </c>
      <c r="O523" t="s">
        <v>38</v>
      </c>
      <c r="Q523">
        <v>12</v>
      </c>
      <c r="T523" t="str">
        <f>IF(RecruitmentTable[[#This Row],[Final Status]]="In process","Screening",IF(RecruitmentTable[[#This Row],[Final Status]]="Selected","Offer","Rejected"))</f>
        <v>Rejected</v>
      </c>
      <c r="U523">
        <f>IF(RecruitmentTable[[#This Row],[Final Status]]="Selected",1,0)</f>
        <v>0</v>
      </c>
    </row>
    <row r="524" spans="1:21" x14ac:dyDescent="0.25">
      <c r="A524" t="s">
        <v>818</v>
      </c>
      <c r="B524" t="s">
        <v>449</v>
      </c>
      <c r="C524" s="1">
        <v>46080</v>
      </c>
      <c r="D524" t="s">
        <v>41</v>
      </c>
      <c r="E524" t="s">
        <v>42</v>
      </c>
      <c r="F524" t="s">
        <v>57</v>
      </c>
      <c r="G524" t="s">
        <v>36</v>
      </c>
      <c r="H524" t="s">
        <v>25</v>
      </c>
      <c r="I524" t="s">
        <v>26</v>
      </c>
      <c r="J524" t="s">
        <v>27</v>
      </c>
      <c r="K524" s="1">
        <v>46086</v>
      </c>
      <c r="L524" t="s">
        <v>28</v>
      </c>
      <c r="M524" t="s">
        <v>29</v>
      </c>
      <c r="N524" s="1">
        <v>46089</v>
      </c>
      <c r="O524" t="s">
        <v>30</v>
      </c>
      <c r="P524" s="1">
        <v>46115</v>
      </c>
      <c r="Q524">
        <v>6</v>
      </c>
      <c r="R524">
        <v>3</v>
      </c>
      <c r="S524">
        <v>26</v>
      </c>
      <c r="T524" t="str">
        <f>IF(RecruitmentTable[[#This Row],[Final Status]]="In process","Screening",IF(RecruitmentTable[[#This Row],[Final Status]]="Selected","Offer","Rejected"))</f>
        <v>Offer</v>
      </c>
      <c r="U524">
        <f>IF(RecruitmentTable[[#This Row],[Final Status]]="Selected",1,0)</f>
        <v>1</v>
      </c>
    </row>
    <row r="525" spans="1:21" x14ac:dyDescent="0.25">
      <c r="A525" t="s">
        <v>819</v>
      </c>
      <c r="B525" t="s">
        <v>263</v>
      </c>
      <c r="C525" s="1">
        <v>46259</v>
      </c>
      <c r="D525" t="s">
        <v>56</v>
      </c>
      <c r="E525" t="s">
        <v>34</v>
      </c>
      <c r="F525" t="s">
        <v>57</v>
      </c>
      <c r="G525" t="s">
        <v>36</v>
      </c>
      <c r="H525" t="s">
        <v>72</v>
      </c>
      <c r="I525" t="s">
        <v>37</v>
      </c>
      <c r="J525" t="s">
        <v>38</v>
      </c>
      <c r="K525" s="1"/>
      <c r="L525" t="s">
        <v>38</v>
      </c>
      <c r="M525" t="s">
        <v>37</v>
      </c>
      <c r="O525" t="s">
        <v>38</v>
      </c>
      <c r="T525" t="str">
        <f>IF(RecruitmentTable[[#This Row],[Final Status]]="In process","Screening",IF(RecruitmentTable[[#This Row],[Final Status]]="Selected","Offer","Rejected"))</f>
        <v>Rejected</v>
      </c>
      <c r="U525">
        <f>IF(RecruitmentTable[[#This Row],[Final Status]]="Selected",1,0)</f>
        <v>0</v>
      </c>
    </row>
    <row r="526" spans="1:21" x14ac:dyDescent="0.25">
      <c r="A526" t="s">
        <v>820</v>
      </c>
      <c r="B526" t="s">
        <v>152</v>
      </c>
      <c r="C526" s="1">
        <v>46248</v>
      </c>
      <c r="D526" t="s">
        <v>65</v>
      </c>
      <c r="E526" t="s">
        <v>42</v>
      </c>
      <c r="F526" t="s">
        <v>35</v>
      </c>
      <c r="G526" t="s">
        <v>47</v>
      </c>
      <c r="H526" t="s">
        <v>62</v>
      </c>
      <c r="I526" t="s">
        <v>26</v>
      </c>
      <c r="J526" t="s">
        <v>27</v>
      </c>
      <c r="K526" s="1">
        <v>46253</v>
      </c>
      <c r="L526" t="s">
        <v>28</v>
      </c>
      <c r="M526" t="s">
        <v>29</v>
      </c>
      <c r="N526" s="1">
        <v>46256</v>
      </c>
      <c r="O526" t="s">
        <v>30</v>
      </c>
      <c r="P526" s="1">
        <v>46278</v>
      </c>
      <c r="Q526">
        <v>5</v>
      </c>
      <c r="R526">
        <v>3</v>
      </c>
      <c r="S526">
        <v>22</v>
      </c>
      <c r="T526" t="str">
        <f>IF(RecruitmentTable[[#This Row],[Final Status]]="In process","Screening",IF(RecruitmentTable[[#This Row],[Final Status]]="Selected","Offer","Rejected"))</f>
        <v>Offer</v>
      </c>
      <c r="U526">
        <f>IF(RecruitmentTable[[#This Row],[Final Status]]="Selected",1,0)</f>
        <v>1</v>
      </c>
    </row>
    <row r="527" spans="1:21" x14ac:dyDescent="0.25">
      <c r="A527" t="s">
        <v>821</v>
      </c>
      <c r="B527" t="s">
        <v>88</v>
      </c>
      <c r="C527" s="1">
        <v>46144</v>
      </c>
      <c r="D527" t="s">
        <v>41</v>
      </c>
      <c r="E527" t="s">
        <v>42</v>
      </c>
      <c r="F527" t="s">
        <v>57</v>
      </c>
      <c r="G527" t="s">
        <v>47</v>
      </c>
      <c r="H527" t="s">
        <v>51</v>
      </c>
      <c r="I527" t="s">
        <v>37</v>
      </c>
      <c r="J527" t="s">
        <v>38</v>
      </c>
      <c r="K527" s="1"/>
      <c r="L527" t="s">
        <v>38</v>
      </c>
      <c r="M527" t="s">
        <v>37</v>
      </c>
      <c r="O527" t="s">
        <v>38</v>
      </c>
      <c r="T527" t="str">
        <f>IF(RecruitmentTable[[#This Row],[Final Status]]="In process","Screening",IF(RecruitmentTable[[#This Row],[Final Status]]="Selected","Offer","Rejected"))</f>
        <v>Rejected</v>
      </c>
      <c r="U527">
        <f>IF(RecruitmentTable[[#This Row],[Final Status]]="Selected",1,0)</f>
        <v>0</v>
      </c>
    </row>
    <row r="528" spans="1:21" x14ac:dyDescent="0.25">
      <c r="A528" t="s">
        <v>822</v>
      </c>
      <c r="B528" t="s">
        <v>823</v>
      </c>
      <c r="C528" s="1">
        <v>46110</v>
      </c>
      <c r="D528" t="s">
        <v>83</v>
      </c>
      <c r="E528" t="s">
        <v>34</v>
      </c>
      <c r="F528" t="s">
        <v>57</v>
      </c>
      <c r="G528" t="s">
        <v>47</v>
      </c>
      <c r="H528" t="s">
        <v>72</v>
      </c>
      <c r="I528" t="s">
        <v>26</v>
      </c>
      <c r="J528" t="s">
        <v>27</v>
      </c>
      <c r="K528" s="1">
        <v>46118</v>
      </c>
      <c r="L528" t="s">
        <v>28</v>
      </c>
      <c r="M528" t="s">
        <v>29</v>
      </c>
      <c r="N528" s="1">
        <v>46124</v>
      </c>
      <c r="O528" t="s">
        <v>30</v>
      </c>
      <c r="P528" s="1">
        <v>46153</v>
      </c>
      <c r="Q528">
        <v>8</v>
      </c>
      <c r="R528">
        <v>6</v>
      </c>
      <c r="S528">
        <v>29</v>
      </c>
      <c r="T528" t="str">
        <f>IF(RecruitmentTable[[#This Row],[Final Status]]="In process","Screening",IF(RecruitmentTable[[#This Row],[Final Status]]="Selected","Offer","Rejected"))</f>
        <v>Offer</v>
      </c>
      <c r="U528">
        <f>IF(RecruitmentTable[[#This Row],[Final Status]]="Selected",1,0)</f>
        <v>1</v>
      </c>
    </row>
    <row r="529" spans="1:21" x14ac:dyDescent="0.25">
      <c r="A529" t="s">
        <v>824</v>
      </c>
      <c r="B529" t="s">
        <v>136</v>
      </c>
      <c r="C529" s="1">
        <v>46133</v>
      </c>
      <c r="D529" t="s">
        <v>65</v>
      </c>
      <c r="E529" t="s">
        <v>42</v>
      </c>
      <c r="F529" t="s">
        <v>100</v>
      </c>
      <c r="G529" t="s">
        <v>66</v>
      </c>
      <c r="H529" t="s">
        <v>51</v>
      </c>
      <c r="I529" t="s">
        <v>26</v>
      </c>
      <c r="J529" t="s">
        <v>27</v>
      </c>
      <c r="K529" s="1">
        <v>46150</v>
      </c>
      <c r="L529" t="s">
        <v>28</v>
      </c>
      <c r="M529" t="s">
        <v>37</v>
      </c>
      <c r="O529" t="s">
        <v>38</v>
      </c>
      <c r="Q529">
        <v>17</v>
      </c>
      <c r="T529" t="str">
        <f>IF(RecruitmentTable[[#This Row],[Final Status]]="In process","Screening",IF(RecruitmentTable[[#This Row],[Final Status]]="Selected","Offer","Rejected"))</f>
        <v>Rejected</v>
      </c>
      <c r="U529">
        <f>IF(RecruitmentTable[[#This Row],[Final Status]]="Selected",1,0)</f>
        <v>0</v>
      </c>
    </row>
    <row r="530" spans="1:21" x14ac:dyDescent="0.25">
      <c r="A530" t="s">
        <v>825</v>
      </c>
      <c r="B530" t="s">
        <v>771</v>
      </c>
      <c r="C530" s="1">
        <v>46139</v>
      </c>
      <c r="D530" t="s">
        <v>41</v>
      </c>
      <c r="E530" t="s">
        <v>42</v>
      </c>
      <c r="F530" t="s">
        <v>57</v>
      </c>
      <c r="G530" t="s">
        <v>47</v>
      </c>
      <c r="H530" t="s">
        <v>44</v>
      </c>
      <c r="I530" t="s">
        <v>26</v>
      </c>
      <c r="J530" t="s">
        <v>27</v>
      </c>
      <c r="K530" s="1">
        <v>46144</v>
      </c>
      <c r="L530" t="s">
        <v>28</v>
      </c>
      <c r="M530" t="s">
        <v>29</v>
      </c>
      <c r="N530" s="1">
        <v>46151</v>
      </c>
      <c r="O530" t="s">
        <v>30</v>
      </c>
      <c r="P530" s="1">
        <v>46167</v>
      </c>
      <c r="Q530">
        <v>5</v>
      </c>
      <c r="R530">
        <v>7</v>
      </c>
      <c r="S530">
        <v>16</v>
      </c>
      <c r="T530" t="str">
        <f>IF(RecruitmentTable[[#This Row],[Final Status]]="In process","Screening",IF(RecruitmentTable[[#This Row],[Final Status]]="Selected","Offer","Rejected"))</f>
        <v>Offer</v>
      </c>
      <c r="U530">
        <f>IF(RecruitmentTable[[#This Row],[Final Status]]="Selected",1,0)</f>
        <v>1</v>
      </c>
    </row>
    <row r="531" spans="1:21" x14ac:dyDescent="0.25">
      <c r="A531" t="s">
        <v>826</v>
      </c>
      <c r="B531" t="s">
        <v>639</v>
      </c>
      <c r="C531" s="1">
        <v>46173</v>
      </c>
      <c r="D531" t="s">
        <v>83</v>
      </c>
      <c r="E531" t="s">
        <v>34</v>
      </c>
      <c r="F531" t="s">
        <v>100</v>
      </c>
      <c r="G531" t="s">
        <v>84</v>
      </c>
      <c r="H531" t="s">
        <v>72</v>
      </c>
      <c r="I531" t="s">
        <v>26</v>
      </c>
      <c r="J531" t="s">
        <v>27</v>
      </c>
      <c r="K531" s="1">
        <v>46186</v>
      </c>
      <c r="L531" t="s">
        <v>28</v>
      </c>
      <c r="M531" t="s">
        <v>29</v>
      </c>
      <c r="N531" s="1">
        <v>46191</v>
      </c>
      <c r="O531" t="s">
        <v>227</v>
      </c>
      <c r="Q531">
        <v>13</v>
      </c>
      <c r="R531">
        <v>5</v>
      </c>
      <c r="T531" t="str">
        <f>IF(RecruitmentTable[[#This Row],[Final Status]]="In process","Screening",IF(RecruitmentTable[[#This Row],[Final Status]]="Selected","Offer","Rejected"))</f>
        <v>Offer</v>
      </c>
      <c r="U531">
        <f>IF(RecruitmentTable[[#This Row],[Final Status]]="Selected",1,0)</f>
        <v>1</v>
      </c>
    </row>
    <row r="532" spans="1:21" x14ac:dyDescent="0.25">
      <c r="A532" t="s">
        <v>827</v>
      </c>
      <c r="B532" t="s">
        <v>707</v>
      </c>
      <c r="C532" s="1">
        <v>46092</v>
      </c>
      <c r="D532" t="s">
        <v>56</v>
      </c>
      <c r="E532" t="s">
        <v>34</v>
      </c>
      <c r="F532" t="s">
        <v>57</v>
      </c>
      <c r="G532" t="s">
        <v>24</v>
      </c>
      <c r="H532" t="s">
        <v>44</v>
      </c>
      <c r="I532" t="s">
        <v>37</v>
      </c>
      <c r="J532" t="s">
        <v>38</v>
      </c>
      <c r="K532" s="1"/>
      <c r="L532" t="s">
        <v>38</v>
      </c>
      <c r="M532" t="s">
        <v>37</v>
      </c>
      <c r="O532" t="s">
        <v>38</v>
      </c>
      <c r="T532" t="str">
        <f>IF(RecruitmentTable[[#This Row],[Final Status]]="In process","Screening",IF(RecruitmentTable[[#This Row],[Final Status]]="Selected","Offer","Rejected"))</f>
        <v>Rejected</v>
      </c>
      <c r="U532">
        <f>IF(RecruitmentTable[[#This Row],[Final Status]]="Selected",1,0)</f>
        <v>0</v>
      </c>
    </row>
    <row r="533" spans="1:21" x14ac:dyDescent="0.25">
      <c r="A533" t="s">
        <v>828</v>
      </c>
      <c r="B533" t="s">
        <v>500</v>
      </c>
      <c r="C533" s="1">
        <v>46166</v>
      </c>
      <c r="D533" t="s">
        <v>21</v>
      </c>
      <c r="E533" t="s">
        <v>22</v>
      </c>
      <c r="F533" t="s">
        <v>23</v>
      </c>
      <c r="G533" t="s">
        <v>47</v>
      </c>
      <c r="H533" t="s">
        <v>44</v>
      </c>
      <c r="I533" t="s">
        <v>37</v>
      </c>
      <c r="J533" t="s">
        <v>38</v>
      </c>
      <c r="K533" s="1"/>
      <c r="L533" t="s">
        <v>38</v>
      </c>
      <c r="M533" t="s">
        <v>37</v>
      </c>
      <c r="O533" t="s">
        <v>38</v>
      </c>
      <c r="T533" t="str">
        <f>IF(RecruitmentTable[[#This Row],[Final Status]]="In process","Screening",IF(RecruitmentTable[[#This Row],[Final Status]]="Selected","Offer","Rejected"))</f>
        <v>Rejected</v>
      </c>
      <c r="U533">
        <f>IF(RecruitmentTable[[#This Row],[Final Status]]="Selected",1,0)</f>
        <v>0</v>
      </c>
    </row>
    <row r="534" spans="1:21" x14ac:dyDescent="0.25">
      <c r="A534" t="s">
        <v>829</v>
      </c>
      <c r="B534" t="s">
        <v>268</v>
      </c>
      <c r="C534" s="1">
        <v>46122</v>
      </c>
      <c r="D534" t="s">
        <v>56</v>
      </c>
      <c r="E534" t="s">
        <v>34</v>
      </c>
      <c r="F534" t="s">
        <v>57</v>
      </c>
      <c r="G534" t="s">
        <v>84</v>
      </c>
      <c r="H534" t="s">
        <v>62</v>
      </c>
      <c r="I534" t="s">
        <v>26</v>
      </c>
      <c r="J534" t="s">
        <v>27</v>
      </c>
      <c r="K534" s="1">
        <v>46135</v>
      </c>
      <c r="L534" t="s">
        <v>28</v>
      </c>
      <c r="M534" t="s">
        <v>37</v>
      </c>
      <c r="O534" t="s">
        <v>38</v>
      </c>
      <c r="Q534">
        <v>13</v>
      </c>
      <c r="T534" t="str">
        <f>IF(RecruitmentTable[[#This Row],[Final Status]]="In process","Screening",IF(RecruitmentTable[[#This Row],[Final Status]]="Selected","Offer","Rejected"))</f>
        <v>Rejected</v>
      </c>
      <c r="U534">
        <f>IF(RecruitmentTable[[#This Row],[Final Status]]="Selected",1,0)</f>
        <v>0</v>
      </c>
    </row>
    <row r="535" spans="1:21" x14ac:dyDescent="0.25">
      <c r="A535" t="s">
        <v>830</v>
      </c>
      <c r="B535" t="s">
        <v>831</v>
      </c>
      <c r="C535" s="1">
        <v>46195</v>
      </c>
      <c r="D535" t="s">
        <v>33</v>
      </c>
      <c r="E535" t="s">
        <v>34</v>
      </c>
      <c r="F535" t="s">
        <v>23</v>
      </c>
      <c r="G535" t="s">
        <v>47</v>
      </c>
      <c r="H535" t="s">
        <v>72</v>
      </c>
      <c r="I535" t="s">
        <v>37</v>
      </c>
      <c r="J535" t="s">
        <v>38</v>
      </c>
      <c r="K535" s="1"/>
      <c r="L535" t="s">
        <v>38</v>
      </c>
      <c r="M535" t="s">
        <v>37</v>
      </c>
      <c r="O535" t="s">
        <v>38</v>
      </c>
      <c r="T535" t="str">
        <f>IF(RecruitmentTable[[#This Row],[Final Status]]="In process","Screening",IF(RecruitmentTable[[#This Row],[Final Status]]="Selected","Offer","Rejected"))</f>
        <v>Rejected</v>
      </c>
      <c r="U535">
        <f>IF(RecruitmentTable[[#This Row],[Final Status]]="Selected",1,0)</f>
        <v>0</v>
      </c>
    </row>
    <row r="536" spans="1:21" x14ac:dyDescent="0.25">
      <c r="A536" t="s">
        <v>832</v>
      </c>
      <c r="B536" t="s">
        <v>233</v>
      </c>
      <c r="C536" s="1">
        <v>46156</v>
      </c>
      <c r="D536" t="s">
        <v>65</v>
      </c>
      <c r="E536" t="s">
        <v>42</v>
      </c>
      <c r="F536" t="s">
        <v>35</v>
      </c>
      <c r="G536" t="s">
        <v>84</v>
      </c>
      <c r="H536" t="s">
        <v>62</v>
      </c>
      <c r="I536" t="s">
        <v>26</v>
      </c>
      <c r="J536" t="s">
        <v>27</v>
      </c>
      <c r="K536" s="1">
        <v>46162</v>
      </c>
      <c r="L536" t="s">
        <v>28</v>
      </c>
      <c r="M536" t="s">
        <v>37</v>
      </c>
      <c r="O536" t="s">
        <v>38</v>
      </c>
      <c r="Q536">
        <v>6</v>
      </c>
      <c r="T536" t="str">
        <f>IF(RecruitmentTable[[#This Row],[Final Status]]="In process","Screening",IF(RecruitmentTable[[#This Row],[Final Status]]="Selected","Offer","Rejected"))</f>
        <v>Rejected</v>
      </c>
      <c r="U536">
        <f>IF(RecruitmentTable[[#This Row],[Final Status]]="Selected",1,0)</f>
        <v>0</v>
      </c>
    </row>
    <row r="537" spans="1:21" x14ac:dyDescent="0.25">
      <c r="A537" t="s">
        <v>833</v>
      </c>
      <c r="B537" t="s">
        <v>834</v>
      </c>
      <c r="C537" s="1">
        <v>46211</v>
      </c>
      <c r="D537" t="s">
        <v>41</v>
      </c>
      <c r="E537" t="s">
        <v>42</v>
      </c>
      <c r="F537" t="s">
        <v>43</v>
      </c>
      <c r="G537" t="s">
        <v>66</v>
      </c>
      <c r="H537" t="s">
        <v>62</v>
      </c>
      <c r="I537" t="s">
        <v>37</v>
      </c>
      <c r="J537" t="s">
        <v>38</v>
      </c>
      <c r="K537" s="1"/>
      <c r="L537" t="s">
        <v>38</v>
      </c>
      <c r="M537" t="s">
        <v>37</v>
      </c>
      <c r="O537" t="s">
        <v>38</v>
      </c>
      <c r="T537" t="str">
        <f>IF(RecruitmentTable[[#This Row],[Final Status]]="In process","Screening",IF(RecruitmentTable[[#This Row],[Final Status]]="Selected","Offer","Rejected"))</f>
        <v>Rejected</v>
      </c>
      <c r="U537">
        <f>IF(RecruitmentTable[[#This Row],[Final Status]]="Selected",1,0)</f>
        <v>0</v>
      </c>
    </row>
    <row r="538" spans="1:21" x14ac:dyDescent="0.25">
      <c r="A538" t="s">
        <v>835</v>
      </c>
      <c r="B538" t="s">
        <v>664</v>
      </c>
      <c r="C538" s="1">
        <v>46081</v>
      </c>
      <c r="D538" t="s">
        <v>21</v>
      </c>
      <c r="E538" t="s">
        <v>22</v>
      </c>
      <c r="F538" t="s">
        <v>35</v>
      </c>
      <c r="G538" t="s">
        <v>66</v>
      </c>
      <c r="H538" t="s">
        <v>44</v>
      </c>
      <c r="I538" t="s">
        <v>37</v>
      </c>
      <c r="J538" t="s">
        <v>38</v>
      </c>
      <c r="K538" s="1"/>
      <c r="L538" t="s">
        <v>38</v>
      </c>
      <c r="M538" t="s">
        <v>37</v>
      </c>
      <c r="O538" t="s">
        <v>38</v>
      </c>
      <c r="T538" t="str">
        <f>IF(RecruitmentTable[[#This Row],[Final Status]]="In process","Screening",IF(RecruitmentTable[[#This Row],[Final Status]]="Selected","Offer","Rejected"))</f>
        <v>Rejected</v>
      </c>
      <c r="U538">
        <f>IF(RecruitmentTable[[#This Row],[Final Status]]="Selected",1,0)</f>
        <v>0</v>
      </c>
    </row>
    <row r="539" spans="1:21" x14ac:dyDescent="0.25">
      <c r="A539" t="s">
        <v>836</v>
      </c>
      <c r="B539" t="s">
        <v>685</v>
      </c>
      <c r="C539" s="1">
        <v>46259</v>
      </c>
      <c r="D539" t="s">
        <v>41</v>
      </c>
      <c r="E539" t="s">
        <v>42</v>
      </c>
      <c r="F539" t="s">
        <v>35</v>
      </c>
      <c r="G539" t="s">
        <v>71</v>
      </c>
      <c r="H539" t="s">
        <v>44</v>
      </c>
      <c r="I539" t="s">
        <v>26</v>
      </c>
      <c r="J539" t="s">
        <v>38</v>
      </c>
      <c r="K539" s="1"/>
      <c r="L539" t="s">
        <v>58</v>
      </c>
      <c r="M539" t="s">
        <v>59</v>
      </c>
      <c r="O539" t="s">
        <v>38</v>
      </c>
      <c r="T539" t="str">
        <f>IF(RecruitmentTable[[#This Row],[Final Status]]="In process","Screening",IF(RecruitmentTable[[#This Row],[Final Status]]="Selected","Offer","Rejected"))</f>
        <v>Screening</v>
      </c>
      <c r="U539">
        <f>IF(RecruitmentTable[[#This Row],[Final Status]]="Selected",1,0)</f>
        <v>0</v>
      </c>
    </row>
    <row r="540" spans="1:21" x14ac:dyDescent="0.25">
      <c r="A540" t="s">
        <v>837</v>
      </c>
      <c r="B540" t="s">
        <v>773</v>
      </c>
      <c r="C540" s="1">
        <v>46200</v>
      </c>
      <c r="D540" t="s">
        <v>83</v>
      </c>
      <c r="E540" t="s">
        <v>34</v>
      </c>
      <c r="F540" t="s">
        <v>43</v>
      </c>
      <c r="G540" t="s">
        <v>36</v>
      </c>
      <c r="H540" t="s">
        <v>72</v>
      </c>
      <c r="I540" t="s">
        <v>26</v>
      </c>
      <c r="J540" t="s">
        <v>38</v>
      </c>
      <c r="K540" s="1"/>
      <c r="L540" t="s">
        <v>58</v>
      </c>
      <c r="M540" t="s">
        <v>59</v>
      </c>
      <c r="O540" t="s">
        <v>38</v>
      </c>
      <c r="T540" t="str">
        <f>IF(RecruitmentTable[[#This Row],[Final Status]]="In process","Screening",IF(RecruitmentTable[[#This Row],[Final Status]]="Selected","Offer","Rejected"))</f>
        <v>Screening</v>
      </c>
      <c r="U540">
        <f>IF(RecruitmentTable[[#This Row],[Final Status]]="Selected",1,0)</f>
        <v>0</v>
      </c>
    </row>
    <row r="541" spans="1:21" x14ac:dyDescent="0.25">
      <c r="A541" t="s">
        <v>838</v>
      </c>
      <c r="B541" t="s">
        <v>839</v>
      </c>
      <c r="C541" s="1">
        <v>46197</v>
      </c>
      <c r="D541" t="s">
        <v>41</v>
      </c>
      <c r="E541" t="s">
        <v>42</v>
      </c>
      <c r="F541" t="s">
        <v>50</v>
      </c>
      <c r="G541" t="s">
        <v>47</v>
      </c>
      <c r="H541" t="s">
        <v>25</v>
      </c>
      <c r="I541" t="s">
        <v>37</v>
      </c>
      <c r="J541" t="s">
        <v>38</v>
      </c>
      <c r="K541" s="1"/>
      <c r="L541" t="s">
        <v>38</v>
      </c>
      <c r="M541" t="s">
        <v>37</v>
      </c>
      <c r="O541" t="s">
        <v>38</v>
      </c>
      <c r="T541" t="str">
        <f>IF(RecruitmentTable[[#This Row],[Final Status]]="In process","Screening",IF(RecruitmentTable[[#This Row],[Final Status]]="Selected","Offer","Rejected"))</f>
        <v>Rejected</v>
      </c>
      <c r="U541">
        <f>IF(RecruitmentTable[[#This Row],[Final Status]]="Selected",1,0)</f>
        <v>0</v>
      </c>
    </row>
    <row r="542" spans="1:21" x14ac:dyDescent="0.25">
      <c r="A542" t="s">
        <v>840</v>
      </c>
      <c r="B542" t="s">
        <v>823</v>
      </c>
      <c r="C542" s="1">
        <v>46046</v>
      </c>
      <c r="D542" t="s">
        <v>41</v>
      </c>
      <c r="E542" t="s">
        <v>42</v>
      </c>
      <c r="F542" t="s">
        <v>43</v>
      </c>
      <c r="G542" t="s">
        <v>36</v>
      </c>
      <c r="H542" t="s">
        <v>51</v>
      </c>
      <c r="I542" t="s">
        <v>26</v>
      </c>
      <c r="J542" t="s">
        <v>38</v>
      </c>
      <c r="K542" s="1"/>
      <c r="L542" t="s">
        <v>58</v>
      </c>
      <c r="M542" t="s">
        <v>59</v>
      </c>
      <c r="O542" t="s">
        <v>38</v>
      </c>
      <c r="T542" t="str">
        <f>IF(RecruitmentTable[[#This Row],[Final Status]]="In process","Screening",IF(RecruitmentTable[[#This Row],[Final Status]]="Selected","Offer","Rejected"))</f>
        <v>Screening</v>
      </c>
      <c r="U542">
        <f>IF(RecruitmentTable[[#This Row],[Final Status]]="Selected",1,0)</f>
        <v>0</v>
      </c>
    </row>
    <row r="543" spans="1:21" x14ac:dyDescent="0.25">
      <c r="A543" t="s">
        <v>841</v>
      </c>
      <c r="B543" t="s">
        <v>488</v>
      </c>
      <c r="C543" s="1">
        <v>46269</v>
      </c>
      <c r="D543" t="s">
        <v>56</v>
      </c>
      <c r="E543" t="s">
        <v>34</v>
      </c>
      <c r="F543" t="s">
        <v>100</v>
      </c>
      <c r="G543" t="s">
        <v>24</v>
      </c>
      <c r="H543" t="s">
        <v>72</v>
      </c>
      <c r="I543" t="s">
        <v>26</v>
      </c>
      <c r="J543" t="s">
        <v>38</v>
      </c>
      <c r="K543" s="1"/>
      <c r="L543" t="s">
        <v>58</v>
      </c>
      <c r="M543" t="s">
        <v>59</v>
      </c>
      <c r="O543" t="s">
        <v>38</v>
      </c>
      <c r="T543" t="str">
        <f>IF(RecruitmentTable[[#This Row],[Final Status]]="In process","Screening",IF(RecruitmentTable[[#This Row],[Final Status]]="Selected","Offer","Rejected"))</f>
        <v>Screening</v>
      </c>
      <c r="U543">
        <f>IF(RecruitmentTable[[#This Row],[Final Status]]="Selected",1,0)</f>
        <v>0</v>
      </c>
    </row>
    <row r="544" spans="1:21" x14ac:dyDescent="0.25">
      <c r="A544" t="s">
        <v>842</v>
      </c>
      <c r="B544" t="s">
        <v>843</v>
      </c>
      <c r="C544" s="1">
        <v>46291</v>
      </c>
      <c r="D544" t="s">
        <v>33</v>
      </c>
      <c r="E544" t="s">
        <v>34</v>
      </c>
      <c r="F544" t="s">
        <v>43</v>
      </c>
      <c r="G544" t="s">
        <v>84</v>
      </c>
      <c r="H544" t="s">
        <v>72</v>
      </c>
      <c r="I544" t="s">
        <v>26</v>
      </c>
      <c r="J544" t="s">
        <v>27</v>
      </c>
      <c r="K544" s="1">
        <v>46301</v>
      </c>
      <c r="L544" t="s">
        <v>28</v>
      </c>
      <c r="M544" t="s">
        <v>37</v>
      </c>
      <c r="O544" t="s">
        <v>38</v>
      </c>
      <c r="Q544">
        <v>10</v>
      </c>
      <c r="T544" t="str">
        <f>IF(RecruitmentTable[[#This Row],[Final Status]]="In process","Screening",IF(RecruitmentTable[[#This Row],[Final Status]]="Selected","Offer","Rejected"))</f>
        <v>Rejected</v>
      </c>
      <c r="U544">
        <f>IF(RecruitmentTable[[#This Row],[Final Status]]="Selected",1,0)</f>
        <v>0</v>
      </c>
    </row>
    <row r="545" spans="1:21" x14ac:dyDescent="0.25">
      <c r="A545" t="s">
        <v>844</v>
      </c>
      <c r="B545" t="s">
        <v>845</v>
      </c>
      <c r="C545" s="1">
        <v>46231</v>
      </c>
      <c r="D545" t="s">
        <v>83</v>
      </c>
      <c r="E545" t="s">
        <v>34</v>
      </c>
      <c r="F545" t="s">
        <v>35</v>
      </c>
      <c r="G545" t="s">
        <v>47</v>
      </c>
      <c r="H545" t="s">
        <v>44</v>
      </c>
      <c r="I545" t="s">
        <v>26</v>
      </c>
      <c r="J545" t="s">
        <v>38</v>
      </c>
      <c r="K545" s="1"/>
      <c r="L545" t="s">
        <v>58</v>
      </c>
      <c r="M545" t="s">
        <v>59</v>
      </c>
      <c r="O545" t="s">
        <v>38</v>
      </c>
      <c r="T545" t="str">
        <f>IF(RecruitmentTable[[#This Row],[Final Status]]="In process","Screening",IF(RecruitmentTable[[#This Row],[Final Status]]="Selected","Offer","Rejected"))</f>
        <v>Screening</v>
      </c>
      <c r="U545">
        <f>IF(RecruitmentTable[[#This Row],[Final Status]]="Selected",1,0)</f>
        <v>0</v>
      </c>
    </row>
    <row r="546" spans="1:21" x14ac:dyDescent="0.25">
      <c r="A546" t="s">
        <v>846</v>
      </c>
      <c r="B546" t="s">
        <v>231</v>
      </c>
      <c r="C546" s="1">
        <v>46294</v>
      </c>
      <c r="D546" t="s">
        <v>33</v>
      </c>
      <c r="E546" t="s">
        <v>34</v>
      </c>
      <c r="F546" t="s">
        <v>57</v>
      </c>
      <c r="G546" t="s">
        <v>71</v>
      </c>
      <c r="H546" t="s">
        <v>51</v>
      </c>
      <c r="I546" t="s">
        <v>26</v>
      </c>
      <c r="J546" t="s">
        <v>38</v>
      </c>
      <c r="K546" s="1"/>
      <c r="L546" t="s">
        <v>58</v>
      </c>
      <c r="M546" t="s">
        <v>59</v>
      </c>
      <c r="O546" t="s">
        <v>38</v>
      </c>
      <c r="T546" t="str">
        <f>IF(RecruitmentTable[[#This Row],[Final Status]]="In process","Screening",IF(RecruitmentTable[[#This Row],[Final Status]]="Selected","Offer","Rejected"))</f>
        <v>Screening</v>
      </c>
      <c r="U546">
        <f>IF(RecruitmentTable[[#This Row],[Final Status]]="Selected",1,0)</f>
        <v>0</v>
      </c>
    </row>
    <row r="547" spans="1:21" x14ac:dyDescent="0.25">
      <c r="A547" t="s">
        <v>847</v>
      </c>
      <c r="B547" t="s">
        <v>817</v>
      </c>
      <c r="C547" s="1">
        <v>46103</v>
      </c>
      <c r="D547" t="s">
        <v>33</v>
      </c>
      <c r="E547" t="s">
        <v>34</v>
      </c>
      <c r="F547" t="s">
        <v>100</v>
      </c>
      <c r="G547" t="s">
        <v>84</v>
      </c>
      <c r="H547" t="s">
        <v>62</v>
      </c>
      <c r="I547" t="s">
        <v>26</v>
      </c>
      <c r="J547" t="s">
        <v>27</v>
      </c>
      <c r="K547" s="1">
        <v>46115</v>
      </c>
      <c r="L547" t="s">
        <v>28</v>
      </c>
      <c r="M547" t="s">
        <v>37</v>
      </c>
      <c r="O547" t="s">
        <v>38</v>
      </c>
      <c r="Q547">
        <v>12</v>
      </c>
      <c r="T547" t="str">
        <f>IF(RecruitmentTable[[#This Row],[Final Status]]="In process","Screening",IF(RecruitmentTable[[#This Row],[Final Status]]="Selected","Offer","Rejected"))</f>
        <v>Rejected</v>
      </c>
      <c r="U547">
        <f>IF(RecruitmentTable[[#This Row],[Final Status]]="Selected",1,0)</f>
        <v>0</v>
      </c>
    </row>
    <row r="548" spans="1:21" x14ac:dyDescent="0.25">
      <c r="A548" t="s">
        <v>848</v>
      </c>
      <c r="B548" t="s">
        <v>567</v>
      </c>
      <c r="C548" s="1">
        <v>46122</v>
      </c>
      <c r="D548" t="s">
        <v>83</v>
      </c>
      <c r="E548" t="s">
        <v>34</v>
      </c>
      <c r="F548" t="s">
        <v>23</v>
      </c>
      <c r="G548" t="s">
        <v>84</v>
      </c>
      <c r="H548" t="s">
        <v>25</v>
      </c>
      <c r="I548" t="s">
        <v>26</v>
      </c>
      <c r="J548" t="s">
        <v>27</v>
      </c>
      <c r="K548" s="1">
        <v>46126</v>
      </c>
      <c r="L548" t="s">
        <v>28</v>
      </c>
      <c r="M548" t="s">
        <v>37</v>
      </c>
      <c r="O548" t="s">
        <v>38</v>
      </c>
      <c r="Q548">
        <v>4</v>
      </c>
      <c r="T548" t="str">
        <f>IF(RecruitmentTable[[#This Row],[Final Status]]="In process","Screening",IF(RecruitmentTable[[#This Row],[Final Status]]="Selected","Offer","Rejected"))</f>
        <v>Rejected</v>
      </c>
      <c r="U548">
        <f>IF(RecruitmentTable[[#This Row],[Final Status]]="Selected",1,0)</f>
        <v>0</v>
      </c>
    </row>
    <row r="549" spans="1:21" x14ac:dyDescent="0.25">
      <c r="A549" t="s">
        <v>849</v>
      </c>
      <c r="B549" t="s">
        <v>399</v>
      </c>
      <c r="C549" s="1">
        <v>46238</v>
      </c>
      <c r="D549" t="s">
        <v>56</v>
      </c>
      <c r="E549" t="s">
        <v>34</v>
      </c>
      <c r="F549" t="s">
        <v>57</v>
      </c>
      <c r="G549" t="s">
        <v>24</v>
      </c>
      <c r="H549" t="s">
        <v>62</v>
      </c>
      <c r="I549" t="s">
        <v>37</v>
      </c>
      <c r="J549" t="s">
        <v>38</v>
      </c>
      <c r="K549" s="1"/>
      <c r="L549" t="s">
        <v>38</v>
      </c>
      <c r="M549" t="s">
        <v>37</v>
      </c>
      <c r="O549" t="s">
        <v>38</v>
      </c>
      <c r="T549" t="str">
        <f>IF(RecruitmentTable[[#This Row],[Final Status]]="In process","Screening",IF(RecruitmentTable[[#This Row],[Final Status]]="Selected","Offer","Rejected"))</f>
        <v>Rejected</v>
      </c>
      <c r="U549">
        <f>IF(RecruitmentTable[[#This Row],[Final Status]]="Selected",1,0)</f>
        <v>0</v>
      </c>
    </row>
    <row r="550" spans="1:21" x14ac:dyDescent="0.25">
      <c r="A550" t="s">
        <v>850</v>
      </c>
      <c r="B550" t="s">
        <v>447</v>
      </c>
      <c r="C550" s="1">
        <v>46250</v>
      </c>
      <c r="D550" t="s">
        <v>33</v>
      </c>
      <c r="E550" t="s">
        <v>34</v>
      </c>
      <c r="F550" t="s">
        <v>57</v>
      </c>
      <c r="G550" t="s">
        <v>24</v>
      </c>
      <c r="H550" t="s">
        <v>51</v>
      </c>
      <c r="I550" t="s">
        <v>26</v>
      </c>
      <c r="J550" t="s">
        <v>27</v>
      </c>
      <c r="K550" s="1">
        <v>46255</v>
      </c>
      <c r="L550" t="s">
        <v>28</v>
      </c>
      <c r="M550" t="s">
        <v>37</v>
      </c>
      <c r="O550" t="s">
        <v>38</v>
      </c>
      <c r="Q550">
        <v>5</v>
      </c>
      <c r="T550" t="str">
        <f>IF(RecruitmentTable[[#This Row],[Final Status]]="In process","Screening",IF(RecruitmentTable[[#This Row],[Final Status]]="Selected","Offer","Rejected"))</f>
        <v>Rejected</v>
      </c>
      <c r="U550">
        <f>IF(RecruitmentTable[[#This Row],[Final Status]]="Selected",1,0)</f>
        <v>0</v>
      </c>
    </row>
    <row r="551" spans="1:21" x14ac:dyDescent="0.25">
      <c r="A551" t="s">
        <v>851</v>
      </c>
      <c r="B551" t="s">
        <v>598</v>
      </c>
      <c r="C551" s="1">
        <v>46251</v>
      </c>
      <c r="D551" t="s">
        <v>65</v>
      </c>
      <c r="E551" t="s">
        <v>42</v>
      </c>
      <c r="F551" t="s">
        <v>100</v>
      </c>
      <c r="G551" t="s">
        <v>47</v>
      </c>
      <c r="H551" t="s">
        <v>51</v>
      </c>
      <c r="I551" t="s">
        <v>37</v>
      </c>
      <c r="J551" t="s">
        <v>38</v>
      </c>
      <c r="K551" s="1"/>
      <c r="L551" t="s">
        <v>38</v>
      </c>
      <c r="M551" t="s">
        <v>37</v>
      </c>
      <c r="O551" t="s">
        <v>38</v>
      </c>
      <c r="T551" t="str">
        <f>IF(RecruitmentTable[[#This Row],[Final Status]]="In process","Screening",IF(RecruitmentTable[[#This Row],[Final Status]]="Selected","Offer","Rejected"))</f>
        <v>Rejected</v>
      </c>
      <c r="U551">
        <f>IF(RecruitmentTable[[#This Row],[Final Status]]="Selected",1,0)</f>
        <v>0</v>
      </c>
    </row>
    <row r="552" spans="1:21" x14ac:dyDescent="0.25">
      <c r="A552" t="s">
        <v>852</v>
      </c>
      <c r="B552" t="s">
        <v>853</v>
      </c>
      <c r="C552" s="1">
        <v>46272</v>
      </c>
      <c r="D552" t="s">
        <v>65</v>
      </c>
      <c r="E552" t="s">
        <v>42</v>
      </c>
      <c r="F552" t="s">
        <v>23</v>
      </c>
      <c r="G552" t="s">
        <v>24</v>
      </c>
      <c r="H552" t="s">
        <v>51</v>
      </c>
      <c r="I552" t="s">
        <v>37</v>
      </c>
      <c r="J552" t="s">
        <v>38</v>
      </c>
      <c r="K552" s="1"/>
      <c r="L552" t="s">
        <v>38</v>
      </c>
      <c r="M552" t="s">
        <v>37</v>
      </c>
      <c r="O552" t="s">
        <v>38</v>
      </c>
      <c r="T552" t="str">
        <f>IF(RecruitmentTable[[#This Row],[Final Status]]="In process","Screening",IF(RecruitmentTable[[#This Row],[Final Status]]="Selected","Offer","Rejected"))</f>
        <v>Rejected</v>
      </c>
      <c r="U552">
        <f>IF(RecruitmentTable[[#This Row],[Final Status]]="Selected",1,0)</f>
        <v>0</v>
      </c>
    </row>
    <row r="553" spans="1:21" x14ac:dyDescent="0.25">
      <c r="A553" t="s">
        <v>854</v>
      </c>
      <c r="B553" t="s">
        <v>704</v>
      </c>
      <c r="C553" s="1">
        <v>46215</v>
      </c>
      <c r="D553" t="s">
        <v>33</v>
      </c>
      <c r="E553" t="s">
        <v>34</v>
      </c>
      <c r="F553" t="s">
        <v>100</v>
      </c>
      <c r="G553" t="s">
        <v>84</v>
      </c>
      <c r="H553" t="s">
        <v>25</v>
      </c>
      <c r="I553" t="s">
        <v>37</v>
      </c>
      <c r="J553" t="s">
        <v>38</v>
      </c>
      <c r="K553" s="1"/>
      <c r="L553" t="s">
        <v>38</v>
      </c>
      <c r="M553" t="s">
        <v>37</v>
      </c>
      <c r="O553" t="s">
        <v>38</v>
      </c>
      <c r="T553" t="str">
        <f>IF(RecruitmentTable[[#This Row],[Final Status]]="In process","Screening",IF(RecruitmentTable[[#This Row],[Final Status]]="Selected","Offer","Rejected"))</f>
        <v>Rejected</v>
      </c>
      <c r="U553">
        <f>IF(RecruitmentTable[[#This Row],[Final Status]]="Selected",1,0)</f>
        <v>0</v>
      </c>
    </row>
    <row r="554" spans="1:21" x14ac:dyDescent="0.25">
      <c r="A554" t="s">
        <v>855</v>
      </c>
      <c r="B554" t="s">
        <v>807</v>
      </c>
      <c r="C554" s="1">
        <v>46273</v>
      </c>
      <c r="D554" t="s">
        <v>56</v>
      </c>
      <c r="E554" t="s">
        <v>34</v>
      </c>
      <c r="F554" t="s">
        <v>57</v>
      </c>
      <c r="G554" t="s">
        <v>66</v>
      </c>
      <c r="H554" t="s">
        <v>44</v>
      </c>
      <c r="I554" t="s">
        <v>37</v>
      </c>
      <c r="J554" t="s">
        <v>38</v>
      </c>
      <c r="K554" s="1"/>
      <c r="L554" t="s">
        <v>38</v>
      </c>
      <c r="M554" t="s">
        <v>37</v>
      </c>
      <c r="O554" t="s">
        <v>38</v>
      </c>
      <c r="T554" t="str">
        <f>IF(RecruitmentTable[[#This Row],[Final Status]]="In process","Screening",IF(RecruitmentTable[[#This Row],[Final Status]]="Selected","Offer","Rejected"))</f>
        <v>Rejected</v>
      </c>
      <c r="U554">
        <f>IF(RecruitmentTable[[#This Row],[Final Status]]="Selected",1,0)</f>
        <v>0</v>
      </c>
    </row>
    <row r="555" spans="1:21" x14ac:dyDescent="0.25">
      <c r="A555" t="s">
        <v>856</v>
      </c>
      <c r="B555" t="s">
        <v>374</v>
      </c>
      <c r="C555" s="1">
        <v>46087</v>
      </c>
      <c r="D555" t="s">
        <v>33</v>
      </c>
      <c r="E555" t="s">
        <v>34</v>
      </c>
      <c r="F555" t="s">
        <v>35</v>
      </c>
      <c r="G555" t="s">
        <v>24</v>
      </c>
      <c r="H555" t="s">
        <v>62</v>
      </c>
      <c r="I555" t="s">
        <v>26</v>
      </c>
      <c r="J555" t="s">
        <v>27</v>
      </c>
      <c r="K555" s="1">
        <v>46101</v>
      </c>
      <c r="L555" t="s">
        <v>28</v>
      </c>
      <c r="M555" t="s">
        <v>29</v>
      </c>
      <c r="N555" s="1">
        <v>46106</v>
      </c>
      <c r="O555" t="s">
        <v>30</v>
      </c>
      <c r="P555" s="1">
        <v>46134</v>
      </c>
      <c r="Q555">
        <v>14</v>
      </c>
      <c r="R555">
        <v>5</v>
      </c>
      <c r="S555">
        <v>28</v>
      </c>
      <c r="T555" t="str">
        <f>IF(RecruitmentTable[[#This Row],[Final Status]]="In process","Screening",IF(RecruitmentTable[[#This Row],[Final Status]]="Selected","Offer","Rejected"))</f>
        <v>Offer</v>
      </c>
      <c r="U555">
        <f>IF(RecruitmentTable[[#This Row],[Final Status]]="Selected",1,0)</f>
        <v>1</v>
      </c>
    </row>
    <row r="556" spans="1:21" x14ac:dyDescent="0.25">
      <c r="A556" t="s">
        <v>857</v>
      </c>
      <c r="B556" t="s">
        <v>341</v>
      </c>
      <c r="C556" s="1">
        <v>46120</v>
      </c>
      <c r="D556" t="s">
        <v>21</v>
      </c>
      <c r="E556" t="s">
        <v>22</v>
      </c>
      <c r="F556" t="s">
        <v>50</v>
      </c>
      <c r="G556" t="s">
        <v>84</v>
      </c>
      <c r="H556" t="s">
        <v>51</v>
      </c>
      <c r="I556" t="s">
        <v>26</v>
      </c>
      <c r="J556" t="s">
        <v>27</v>
      </c>
      <c r="K556" s="1">
        <v>46131</v>
      </c>
      <c r="L556" t="s">
        <v>28</v>
      </c>
      <c r="M556" t="s">
        <v>29</v>
      </c>
      <c r="N556" s="1">
        <v>46135</v>
      </c>
      <c r="O556" t="s">
        <v>30</v>
      </c>
      <c r="P556" s="1">
        <v>46156</v>
      </c>
      <c r="Q556">
        <v>11</v>
      </c>
      <c r="R556">
        <v>4</v>
      </c>
      <c r="S556">
        <v>21</v>
      </c>
      <c r="T556" t="str">
        <f>IF(RecruitmentTable[[#This Row],[Final Status]]="In process","Screening",IF(RecruitmentTable[[#This Row],[Final Status]]="Selected","Offer","Rejected"))</f>
        <v>Offer</v>
      </c>
      <c r="U556">
        <f>IF(RecruitmentTable[[#This Row],[Final Status]]="Selected",1,0)</f>
        <v>1</v>
      </c>
    </row>
    <row r="557" spans="1:21" x14ac:dyDescent="0.25">
      <c r="A557" t="s">
        <v>858</v>
      </c>
      <c r="B557" t="s">
        <v>129</v>
      </c>
      <c r="C557" s="1">
        <v>46136</v>
      </c>
      <c r="D557" t="s">
        <v>41</v>
      </c>
      <c r="E557" t="s">
        <v>42</v>
      </c>
      <c r="F557" t="s">
        <v>35</v>
      </c>
      <c r="G557" t="s">
        <v>47</v>
      </c>
      <c r="H557" t="s">
        <v>25</v>
      </c>
      <c r="I557" t="s">
        <v>26</v>
      </c>
      <c r="J557" t="s">
        <v>27</v>
      </c>
      <c r="K557" s="1">
        <v>46151</v>
      </c>
      <c r="L557" t="s">
        <v>28</v>
      </c>
      <c r="M557" t="s">
        <v>37</v>
      </c>
      <c r="O557" t="s">
        <v>38</v>
      </c>
      <c r="Q557">
        <v>15</v>
      </c>
      <c r="T557" t="str">
        <f>IF(RecruitmentTable[[#This Row],[Final Status]]="In process","Screening",IF(RecruitmentTable[[#This Row],[Final Status]]="Selected","Offer","Rejected"))</f>
        <v>Rejected</v>
      </c>
      <c r="U557">
        <f>IF(RecruitmentTable[[#This Row],[Final Status]]="Selected",1,0)</f>
        <v>0</v>
      </c>
    </row>
    <row r="558" spans="1:21" x14ac:dyDescent="0.25">
      <c r="A558" t="s">
        <v>859</v>
      </c>
      <c r="B558" t="s">
        <v>363</v>
      </c>
      <c r="C558" s="1">
        <v>46087</v>
      </c>
      <c r="D558" t="s">
        <v>21</v>
      </c>
      <c r="E558" t="s">
        <v>22</v>
      </c>
      <c r="F558" t="s">
        <v>57</v>
      </c>
      <c r="G558" t="s">
        <v>36</v>
      </c>
      <c r="H558" t="s">
        <v>62</v>
      </c>
      <c r="I558" t="s">
        <v>37</v>
      </c>
      <c r="J558" t="s">
        <v>38</v>
      </c>
      <c r="K558" s="1"/>
      <c r="L558" t="s">
        <v>38</v>
      </c>
      <c r="M558" t="s">
        <v>37</v>
      </c>
      <c r="O558" t="s">
        <v>38</v>
      </c>
      <c r="T558" t="str">
        <f>IF(RecruitmentTable[[#This Row],[Final Status]]="In process","Screening",IF(RecruitmentTable[[#This Row],[Final Status]]="Selected","Offer","Rejected"))</f>
        <v>Rejected</v>
      </c>
      <c r="U558">
        <f>IF(RecruitmentTable[[#This Row],[Final Status]]="Selected",1,0)</f>
        <v>0</v>
      </c>
    </row>
    <row r="559" spans="1:21" x14ac:dyDescent="0.25">
      <c r="A559" t="s">
        <v>860</v>
      </c>
      <c r="B559" t="s">
        <v>861</v>
      </c>
      <c r="C559" s="1">
        <v>46130</v>
      </c>
      <c r="D559" t="s">
        <v>56</v>
      </c>
      <c r="E559" t="s">
        <v>34</v>
      </c>
      <c r="F559" t="s">
        <v>43</v>
      </c>
      <c r="G559" t="s">
        <v>84</v>
      </c>
      <c r="H559" t="s">
        <v>62</v>
      </c>
      <c r="I559" t="s">
        <v>37</v>
      </c>
      <c r="J559" t="s">
        <v>38</v>
      </c>
      <c r="K559" s="1"/>
      <c r="L559" t="s">
        <v>38</v>
      </c>
      <c r="M559" t="s">
        <v>37</v>
      </c>
      <c r="O559" t="s">
        <v>38</v>
      </c>
      <c r="T559" t="str">
        <f>IF(RecruitmentTable[[#This Row],[Final Status]]="In process","Screening",IF(RecruitmentTable[[#This Row],[Final Status]]="Selected","Offer","Rejected"))</f>
        <v>Rejected</v>
      </c>
      <c r="U559">
        <f>IF(RecruitmentTable[[#This Row],[Final Status]]="Selected",1,0)</f>
        <v>0</v>
      </c>
    </row>
    <row r="560" spans="1:21" x14ac:dyDescent="0.25">
      <c r="A560" t="s">
        <v>862</v>
      </c>
      <c r="B560" t="s">
        <v>53</v>
      </c>
      <c r="C560" s="1">
        <v>46103</v>
      </c>
      <c r="D560" t="s">
        <v>83</v>
      </c>
      <c r="E560" t="s">
        <v>34</v>
      </c>
      <c r="F560" t="s">
        <v>50</v>
      </c>
      <c r="G560" t="s">
        <v>47</v>
      </c>
      <c r="H560" t="s">
        <v>44</v>
      </c>
      <c r="I560" t="s">
        <v>37</v>
      </c>
      <c r="J560" t="s">
        <v>38</v>
      </c>
      <c r="K560" s="1"/>
      <c r="L560" t="s">
        <v>38</v>
      </c>
      <c r="M560" t="s">
        <v>37</v>
      </c>
      <c r="O560" t="s">
        <v>38</v>
      </c>
      <c r="T560" t="str">
        <f>IF(RecruitmentTable[[#This Row],[Final Status]]="In process","Screening",IF(RecruitmentTable[[#This Row],[Final Status]]="Selected","Offer","Rejected"))</f>
        <v>Rejected</v>
      </c>
      <c r="U560">
        <f>IF(RecruitmentTable[[#This Row],[Final Status]]="Selected",1,0)</f>
        <v>0</v>
      </c>
    </row>
    <row r="561" spans="1:21" x14ac:dyDescent="0.25">
      <c r="A561" t="s">
        <v>863</v>
      </c>
      <c r="B561" t="s">
        <v>431</v>
      </c>
      <c r="C561" s="1">
        <v>46080</v>
      </c>
      <c r="D561" t="s">
        <v>41</v>
      </c>
      <c r="E561" t="s">
        <v>42</v>
      </c>
      <c r="F561" t="s">
        <v>43</v>
      </c>
      <c r="G561" t="s">
        <v>84</v>
      </c>
      <c r="H561" t="s">
        <v>51</v>
      </c>
      <c r="I561" t="s">
        <v>26</v>
      </c>
      <c r="J561" t="s">
        <v>27</v>
      </c>
      <c r="K561" s="1">
        <v>46084</v>
      </c>
      <c r="L561" t="s">
        <v>28</v>
      </c>
      <c r="M561" t="s">
        <v>37</v>
      </c>
      <c r="O561" t="s">
        <v>38</v>
      </c>
      <c r="Q561">
        <v>4</v>
      </c>
      <c r="T561" t="str">
        <f>IF(RecruitmentTable[[#This Row],[Final Status]]="In process","Screening",IF(RecruitmentTable[[#This Row],[Final Status]]="Selected","Offer","Rejected"))</f>
        <v>Rejected</v>
      </c>
      <c r="U561">
        <f>IF(RecruitmentTable[[#This Row],[Final Status]]="Selected",1,0)</f>
        <v>0</v>
      </c>
    </row>
    <row r="562" spans="1:21" x14ac:dyDescent="0.25">
      <c r="A562" t="s">
        <v>864</v>
      </c>
      <c r="B562" t="s">
        <v>213</v>
      </c>
      <c r="C562" s="1">
        <v>46131</v>
      </c>
      <c r="D562" t="s">
        <v>33</v>
      </c>
      <c r="E562" t="s">
        <v>34</v>
      </c>
      <c r="F562" t="s">
        <v>50</v>
      </c>
      <c r="G562" t="s">
        <v>24</v>
      </c>
      <c r="H562" t="s">
        <v>51</v>
      </c>
      <c r="I562" t="s">
        <v>37</v>
      </c>
      <c r="J562" t="s">
        <v>38</v>
      </c>
      <c r="K562" s="1"/>
      <c r="L562" t="s">
        <v>38</v>
      </c>
      <c r="M562" t="s">
        <v>37</v>
      </c>
      <c r="O562" t="s">
        <v>38</v>
      </c>
      <c r="T562" t="str">
        <f>IF(RecruitmentTable[[#This Row],[Final Status]]="In process","Screening",IF(RecruitmentTable[[#This Row],[Final Status]]="Selected","Offer","Rejected"))</f>
        <v>Rejected</v>
      </c>
      <c r="U562">
        <f>IF(RecruitmentTable[[#This Row],[Final Status]]="Selected",1,0)</f>
        <v>0</v>
      </c>
    </row>
    <row r="563" spans="1:21" x14ac:dyDescent="0.25">
      <c r="A563" t="s">
        <v>865</v>
      </c>
      <c r="B563" t="s">
        <v>420</v>
      </c>
      <c r="C563" s="1">
        <v>46141</v>
      </c>
      <c r="D563" t="s">
        <v>83</v>
      </c>
      <c r="E563" t="s">
        <v>34</v>
      </c>
      <c r="F563" t="s">
        <v>23</v>
      </c>
      <c r="G563" t="s">
        <v>36</v>
      </c>
      <c r="H563" t="s">
        <v>62</v>
      </c>
      <c r="I563" t="s">
        <v>26</v>
      </c>
      <c r="J563" t="s">
        <v>27</v>
      </c>
      <c r="K563" s="1">
        <v>46151</v>
      </c>
      <c r="L563" t="s">
        <v>28</v>
      </c>
      <c r="M563" t="s">
        <v>37</v>
      </c>
      <c r="O563" t="s">
        <v>38</v>
      </c>
      <c r="Q563">
        <v>10</v>
      </c>
      <c r="T563" t="str">
        <f>IF(RecruitmentTable[[#This Row],[Final Status]]="In process","Screening",IF(RecruitmentTable[[#This Row],[Final Status]]="Selected","Offer","Rejected"))</f>
        <v>Rejected</v>
      </c>
      <c r="U563">
        <f>IF(RecruitmentTable[[#This Row],[Final Status]]="Selected",1,0)</f>
        <v>0</v>
      </c>
    </row>
    <row r="564" spans="1:21" x14ac:dyDescent="0.25">
      <c r="A564" t="s">
        <v>866</v>
      </c>
      <c r="B564" t="s">
        <v>443</v>
      </c>
      <c r="C564" s="1">
        <v>46054</v>
      </c>
      <c r="D564" t="s">
        <v>65</v>
      </c>
      <c r="E564" t="s">
        <v>42</v>
      </c>
      <c r="F564" t="s">
        <v>23</v>
      </c>
      <c r="G564" t="s">
        <v>66</v>
      </c>
      <c r="H564" t="s">
        <v>25</v>
      </c>
      <c r="I564" t="s">
        <v>26</v>
      </c>
      <c r="J564" t="s">
        <v>27</v>
      </c>
      <c r="K564" s="1">
        <v>46064</v>
      </c>
      <c r="L564" t="s">
        <v>28</v>
      </c>
      <c r="M564" t="s">
        <v>37</v>
      </c>
      <c r="O564" t="s">
        <v>38</v>
      </c>
      <c r="Q564">
        <v>10</v>
      </c>
      <c r="T564" t="str">
        <f>IF(RecruitmentTable[[#This Row],[Final Status]]="In process","Screening",IF(RecruitmentTable[[#This Row],[Final Status]]="Selected","Offer","Rejected"))</f>
        <v>Rejected</v>
      </c>
      <c r="U564">
        <f>IF(RecruitmentTable[[#This Row],[Final Status]]="Selected",1,0)</f>
        <v>0</v>
      </c>
    </row>
    <row r="565" spans="1:21" x14ac:dyDescent="0.25">
      <c r="A565" t="s">
        <v>867</v>
      </c>
      <c r="B565" t="s">
        <v>141</v>
      </c>
      <c r="C565" s="1">
        <v>46250</v>
      </c>
      <c r="D565" t="s">
        <v>65</v>
      </c>
      <c r="E565" t="s">
        <v>42</v>
      </c>
      <c r="F565" t="s">
        <v>43</v>
      </c>
      <c r="G565" t="s">
        <v>24</v>
      </c>
      <c r="H565" t="s">
        <v>62</v>
      </c>
      <c r="I565" t="s">
        <v>26</v>
      </c>
      <c r="J565" t="s">
        <v>27</v>
      </c>
      <c r="K565" s="1">
        <v>46261</v>
      </c>
      <c r="L565" t="s">
        <v>28</v>
      </c>
      <c r="M565" t="s">
        <v>37</v>
      </c>
      <c r="O565" t="s">
        <v>38</v>
      </c>
      <c r="Q565">
        <v>11</v>
      </c>
      <c r="T565" t="str">
        <f>IF(RecruitmentTable[[#This Row],[Final Status]]="In process","Screening",IF(RecruitmentTable[[#This Row],[Final Status]]="Selected","Offer","Rejected"))</f>
        <v>Rejected</v>
      </c>
      <c r="U565">
        <f>IF(RecruitmentTable[[#This Row],[Final Status]]="Selected",1,0)</f>
        <v>0</v>
      </c>
    </row>
    <row r="566" spans="1:21" x14ac:dyDescent="0.25">
      <c r="A566" t="s">
        <v>868</v>
      </c>
      <c r="B566" t="s">
        <v>571</v>
      </c>
      <c r="C566" s="1">
        <v>46054</v>
      </c>
      <c r="D566" t="s">
        <v>56</v>
      </c>
      <c r="E566" t="s">
        <v>34</v>
      </c>
      <c r="F566" t="s">
        <v>57</v>
      </c>
      <c r="G566" t="s">
        <v>47</v>
      </c>
      <c r="H566" t="s">
        <v>62</v>
      </c>
      <c r="I566" t="s">
        <v>37</v>
      </c>
      <c r="J566" t="s">
        <v>38</v>
      </c>
      <c r="K566" s="1"/>
      <c r="L566" t="s">
        <v>38</v>
      </c>
      <c r="M566" t="s">
        <v>37</v>
      </c>
      <c r="O566" t="s">
        <v>38</v>
      </c>
      <c r="T566" t="str">
        <f>IF(RecruitmentTable[[#This Row],[Final Status]]="In process","Screening",IF(RecruitmentTable[[#This Row],[Final Status]]="Selected","Offer","Rejected"))</f>
        <v>Rejected</v>
      </c>
      <c r="U566">
        <f>IF(RecruitmentTable[[#This Row],[Final Status]]="Selected",1,0)</f>
        <v>0</v>
      </c>
    </row>
    <row r="567" spans="1:21" x14ac:dyDescent="0.25">
      <c r="A567" t="s">
        <v>869</v>
      </c>
      <c r="B567" t="s">
        <v>401</v>
      </c>
      <c r="C567" s="1">
        <v>46136</v>
      </c>
      <c r="D567" t="s">
        <v>33</v>
      </c>
      <c r="E567" t="s">
        <v>34</v>
      </c>
      <c r="F567" t="s">
        <v>50</v>
      </c>
      <c r="G567" t="s">
        <v>84</v>
      </c>
      <c r="H567" t="s">
        <v>51</v>
      </c>
      <c r="I567" t="s">
        <v>26</v>
      </c>
      <c r="J567" t="s">
        <v>27</v>
      </c>
      <c r="K567" s="1">
        <v>46150</v>
      </c>
      <c r="L567" t="s">
        <v>28</v>
      </c>
      <c r="M567" t="s">
        <v>37</v>
      </c>
      <c r="O567" t="s">
        <v>38</v>
      </c>
      <c r="Q567">
        <v>14</v>
      </c>
      <c r="T567" t="str">
        <f>IF(RecruitmentTable[[#This Row],[Final Status]]="In process","Screening",IF(RecruitmentTable[[#This Row],[Final Status]]="Selected","Offer","Rejected"))</f>
        <v>Rejected</v>
      </c>
      <c r="U567">
        <f>IF(RecruitmentTable[[#This Row],[Final Status]]="Selected",1,0)</f>
        <v>0</v>
      </c>
    </row>
    <row r="568" spans="1:21" x14ac:dyDescent="0.25">
      <c r="A568" t="s">
        <v>870</v>
      </c>
      <c r="B568" t="s">
        <v>238</v>
      </c>
      <c r="C568" s="1">
        <v>46142</v>
      </c>
      <c r="D568" t="s">
        <v>65</v>
      </c>
      <c r="E568" t="s">
        <v>42</v>
      </c>
      <c r="F568" t="s">
        <v>23</v>
      </c>
      <c r="G568" t="s">
        <v>24</v>
      </c>
      <c r="H568" t="s">
        <v>72</v>
      </c>
      <c r="I568" t="s">
        <v>26</v>
      </c>
      <c r="J568" t="s">
        <v>38</v>
      </c>
      <c r="K568" s="1"/>
      <c r="L568" t="s">
        <v>58</v>
      </c>
      <c r="M568" t="s">
        <v>59</v>
      </c>
      <c r="O568" t="s">
        <v>38</v>
      </c>
      <c r="T568" t="str">
        <f>IF(RecruitmentTable[[#This Row],[Final Status]]="In process","Screening",IF(RecruitmentTable[[#This Row],[Final Status]]="Selected","Offer","Rejected"))</f>
        <v>Screening</v>
      </c>
      <c r="U568">
        <f>IF(RecruitmentTable[[#This Row],[Final Status]]="Selected",1,0)</f>
        <v>0</v>
      </c>
    </row>
    <row r="569" spans="1:21" x14ac:dyDescent="0.25">
      <c r="A569" t="s">
        <v>871</v>
      </c>
      <c r="B569" t="s">
        <v>175</v>
      </c>
      <c r="C569" s="1">
        <v>46295</v>
      </c>
      <c r="D569" t="s">
        <v>41</v>
      </c>
      <c r="E569" t="s">
        <v>42</v>
      </c>
      <c r="F569" t="s">
        <v>57</v>
      </c>
      <c r="G569" t="s">
        <v>66</v>
      </c>
      <c r="H569" t="s">
        <v>62</v>
      </c>
      <c r="I569" t="s">
        <v>26</v>
      </c>
      <c r="J569" t="s">
        <v>27</v>
      </c>
      <c r="K569" s="1">
        <v>46308</v>
      </c>
      <c r="L569" t="s">
        <v>28</v>
      </c>
      <c r="M569" t="s">
        <v>29</v>
      </c>
      <c r="N569" s="1">
        <v>46313</v>
      </c>
      <c r="O569" t="s">
        <v>227</v>
      </c>
      <c r="Q569">
        <v>13</v>
      </c>
      <c r="R569">
        <v>5</v>
      </c>
      <c r="T569" t="str">
        <f>IF(RecruitmentTable[[#This Row],[Final Status]]="In process","Screening",IF(RecruitmentTable[[#This Row],[Final Status]]="Selected","Offer","Rejected"))</f>
        <v>Offer</v>
      </c>
      <c r="U569">
        <f>IF(RecruitmentTable[[#This Row],[Final Status]]="Selected",1,0)</f>
        <v>1</v>
      </c>
    </row>
    <row r="570" spans="1:21" x14ac:dyDescent="0.25">
      <c r="A570" t="s">
        <v>872</v>
      </c>
      <c r="B570" t="s">
        <v>95</v>
      </c>
      <c r="C570" s="1">
        <v>46104</v>
      </c>
      <c r="D570" t="s">
        <v>41</v>
      </c>
      <c r="E570" t="s">
        <v>42</v>
      </c>
      <c r="F570" t="s">
        <v>57</v>
      </c>
      <c r="G570" t="s">
        <v>47</v>
      </c>
      <c r="H570" t="s">
        <v>44</v>
      </c>
      <c r="I570" t="s">
        <v>37</v>
      </c>
      <c r="J570" t="s">
        <v>38</v>
      </c>
      <c r="K570" s="1"/>
      <c r="L570" t="s">
        <v>38</v>
      </c>
      <c r="M570" t="s">
        <v>37</v>
      </c>
      <c r="O570" t="s">
        <v>38</v>
      </c>
      <c r="T570" t="str">
        <f>IF(RecruitmentTable[[#This Row],[Final Status]]="In process","Screening",IF(RecruitmentTable[[#This Row],[Final Status]]="Selected","Offer","Rejected"))</f>
        <v>Rejected</v>
      </c>
      <c r="U570">
        <f>IF(RecruitmentTable[[#This Row],[Final Status]]="Selected",1,0)</f>
        <v>0</v>
      </c>
    </row>
    <row r="571" spans="1:21" x14ac:dyDescent="0.25">
      <c r="A571" t="s">
        <v>873</v>
      </c>
      <c r="B571" t="s">
        <v>710</v>
      </c>
      <c r="C571" s="1">
        <v>46069</v>
      </c>
      <c r="D571" t="s">
        <v>33</v>
      </c>
      <c r="E571" t="s">
        <v>34</v>
      </c>
      <c r="F571" t="s">
        <v>57</v>
      </c>
      <c r="G571" t="s">
        <v>24</v>
      </c>
      <c r="H571" t="s">
        <v>44</v>
      </c>
      <c r="I571" t="s">
        <v>26</v>
      </c>
      <c r="J571" t="s">
        <v>38</v>
      </c>
      <c r="K571" s="1"/>
      <c r="L571" t="s">
        <v>58</v>
      </c>
      <c r="M571" t="s">
        <v>59</v>
      </c>
      <c r="O571" t="s">
        <v>38</v>
      </c>
      <c r="T571" t="str">
        <f>IF(RecruitmentTable[[#This Row],[Final Status]]="In process","Screening",IF(RecruitmentTable[[#This Row],[Final Status]]="Selected","Offer","Rejected"))</f>
        <v>Screening</v>
      </c>
      <c r="U571">
        <f>IF(RecruitmentTable[[#This Row],[Final Status]]="Selected",1,0)</f>
        <v>0</v>
      </c>
    </row>
    <row r="572" spans="1:21" x14ac:dyDescent="0.25">
      <c r="A572" t="s">
        <v>874</v>
      </c>
      <c r="B572" t="s">
        <v>785</v>
      </c>
      <c r="C572" s="1">
        <v>46239</v>
      </c>
      <c r="D572" t="s">
        <v>65</v>
      </c>
      <c r="E572" t="s">
        <v>42</v>
      </c>
      <c r="F572" t="s">
        <v>50</v>
      </c>
      <c r="G572" t="s">
        <v>24</v>
      </c>
      <c r="H572" t="s">
        <v>25</v>
      </c>
      <c r="I572" t="s">
        <v>26</v>
      </c>
      <c r="J572" t="s">
        <v>38</v>
      </c>
      <c r="K572" s="1"/>
      <c r="L572" t="s">
        <v>58</v>
      </c>
      <c r="M572" t="s">
        <v>59</v>
      </c>
      <c r="O572" t="s">
        <v>38</v>
      </c>
      <c r="T572" t="str">
        <f>IF(RecruitmentTable[[#This Row],[Final Status]]="In process","Screening",IF(RecruitmentTable[[#This Row],[Final Status]]="Selected","Offer","Rejected"))</f>
        <v>Screening</v>
      </c>
      <c r="U572">
        <f>IF(RecruitmentTable[[#This Row],[Final Status]]="Selected",1,0)</f>
        <v>0</v>
      </c>
    </row>
    <row r="573" spans="1:21" x14ac:dyDescent="0.25">
      <c r="A573" t="s">
        <v>875</v>
      </c>
      <c r="B573" t="s">
        <v>876</v>
      </c>
      <c r="C573" s="1">
        <v>46098</v>
      </c>
      <c r="D573" t="s">
        <v>21</v>
      </c>
      <c r="E573" t="s">
        <v>22</v>
      </c>
      <c r="F573" t="s">
        <v>43</v>
      </c>
      <c r="G573" t="s">
        <v>84</v>
      </c>
      <c r="H573" t="s">
        <v>51</v>
      </c>
      <c r="I573" t="s">
        <v>26</v>
      </c>
      <c r="J573" t="s">
        <v>38</v>
      </c>
      <c r="K573" s="1"/>
      <c r="L573" t="s">
        <v>58</v>
      </c>
      <c r="M573" t="s">
        <v>59</v>
      </c>
      <c r="O573" t="s">
        <v>38</v>
      </c>
      <c r="T573" t="str">
        <f>IF(RecruitmentTable[[#This Row],[Final Status]]="In process","Screening",IF(RecruitmentTable[[#This Row],[Final Status]]="Selected","Offer","Rejected"))</f>
        <v>Screening</v>
      </c>
      <c r="U573">
        <f>IF(RecruitmentTable[[#This Row],[Final Status]]="Selected",1,0)</f>
        <v>0</v>
      </c>
    </row>
    <row r="574" spans="1:21" x14ac:dyDescent="0.25">
      <c r="A574" t="s">
        <v>877</v>
      </c>
      <c r="B574" t="s">
        <v>878</v>
      </c>
      <c r="C574" s="1">
        <v>46211</v>
      </c>
      <c r="D574" t="s">
        <v>21</v>
      </c>
      <c r="E574" t="s">
        <v>22</v>
      </c>
      <c r="F574" t="s">
        <v>57</v>
      </c>
      <c r="G574" t="s">
        <v>84</v>
      </c>
      <c r="H574" t="s">
        <v>51</v>
      </c>
      <c r="I574" t="s">
        <v>37</v>
      </c>
      <c r="J574" t="s">
        <v>38</v>
      </c>
      <c r="K574" s="1"/>
      <c r="L574" t="s">
        <v>38</v>
      </c>
      <c r="M574" t="s">
        <v>37</v>
      </c>
      <c r="O574" t="s">
        <v>38</v>
      </c>
      <c r="T574" t="str">
        <f>IF(RecruitmentTable[[#This Row],[Final Status]]="In process","Screening",IF(RecruitmentTable[[#This Row],[Final Status]]="Selected","Offer","Rejected"))</f>
        <v>Rejected</v>
      </c>
      <c r="U574">
        <f>IF(RecruitmentTable[[#This Row],[Final Status]]="Selected",1,0)</f>
        <v>0</v>
      </c>
    </row>
    <row r="575" spans="1:21" x14ac:dyDescent="0.25">
      <c r="A575" t="s">
        <v>879</v>
      </c>
      <c r="B575" t="s">
        <v>412</v>
      </c>
      <c r="C575" s="1">
        <v>46156</v>
      </c>
      <c r="D575" t="s">
        <v>65</v>
      </c>
      <c r="E575" t="s">
        <v>42</v>
      </c>
      <c r="F575" t="s">
        <v>50</v>
      </c>
      <c r="G575" t="s">
        <v>24</v>
      </c>
      <c r="H575" t="s">
        <v>62</v>
      </c>
      <c r="I575" t="s">
        <v>26</v>
      </c>
      <c r="J575" t="s">
        <v>27</v>
      </c>
      <c r="K575" s="1">
        <v>46168</v>
      </c>
      <c r="L575" t="s">
        <v>28</v>
      </c>
      <c r="M575" t="s">
        <v>37</v>
      </c>
      <c r="O575" t="s">
        <v>38</v>
      </c>
      <c r="Q575">
        <v>12</v>
      </c>
      <c r="T575" t="str">
        <f>IF(RecruitmentTable[[#This Row],[Final Status]]="In process","Screening",IF(RecruitmentTable[[#This Row],[Final Status]]="Selected","Offer","Rejected"))</f>
        <v>Rejected</v>
      </c>
      <c r="U575">
        <f>IF(RecruitmentTable[[#This Row],[Final Status]]="Selected",1,0)</f>
        <v>0</v>
      </c>
    </row>
    <row r="576" spans="1:21" x14ac:dyDescent="0.25">
      <c r="A576" t="s">
        <v>880</v>
      </c>
      <c r="B576" t="s">
        <v>119</v>
      </c>
      <c r="C576" s="1">
        <v>46085</v>
      </c>
      <c r="D576" t="s">
        <v>41</v>
      </c>
      <c r="E576" t="s">
        <v>42</v>
      </c>
      <c r="F576" t="s">
        <v>43</v>
      </c>
      <c r="G576" t="s">
        <v>36</v>
      </c>
      <c r="H576" t="s">
        <v>51</v>
      </c>
      <c r="I576" t="s">
        <v>26</v>
      </c>
      <c r="J576" t="s">
        <v>27</v>
      </c>
      <c r="K576" s="1">
        <v>46100</v>
      </c>
      <c r="L576" t="s">
        <v>28</v>
      </c>
      <c r="M576" t="s">
        <v>37</v>
      </c>
      <c r="O576" t="s">
        <v>38</v>
      </c>
      <c r="Q576">
        <v>15</v>
      </c>
      <c r="T576" t="str">
        <f>IF(RecruitmentTable[[#This Row],[Final Status]]="In process","Screening",IF(RecruitmentTable[[#This Row],[Final Status]]="Selected","Offer","Rejected"))</f>
        <v>Rejected</v>
      </c>
      <c r="U576">
        <f>IF(RecruitmentTable[[#This Row],[Final Status]]="Selected",1,0)</f>
        <v>0</v>
      </c>
    </row>
    <row r="577" spans="1:21" x14ac:dyDescent="0.25">
      <c r="A577" t="s">
        <v>881</v>
      </c>
      <c r="B577" t="s">
        <v>508</v>
      </c>
      <c r="C577" s="1">
        <v>46100</v>
      </c>
      <c r="D577" t="s">
        <v>56</v>
      </c>
      <c r="E577" t="s">
        <v>34</v>
      </c>
      <c r="F577" t="s">
        <v>57</v>
      </c>
      <c r="G577" t="s">
        <v>84</v>
      </c>
      <c r="H577" t="s">
        <v>44</v>
      </c>
      <c r="I577" t="s">
        <v>26</v>
      </c>
      <c r="J577" t="s">
        <v>27</v>
      </c>
      <c r="K577" s="1">
        <v>46104</v>
      </c>
      <c r="L577" t="s">
        <v>28</v>
      </c>
      <c r="M577" t="s">
        <v>29</v>
      </c>
      <c r="N577" s="1">
        <v>46111</v>
      </c>
      <c r="O577" t="s">
        <v>30</v>
      </c>
      <c r="P577" s="1">
        <v>46136</v>
      </c>
      <c r="Q577">
        <v>4</v>
      </c>
      <c r="R577">
        <v>7</v>
      </c>
      <c r="S577">
        <v>25</v>
      </c>
      <c r="T577" t="str">
        <f>IF(RecruitmentTable[[#This Row],[Final Status]]="In process","Screening",IF(RecruitmentTable[[#This Row],[Final Status]]="Selected","Offer","Rejected"))</f>
        <v>Offer</v>
      </c>
      <c r="U577">
        <f>IF(RecruitmentTable[[#This Row],[Final Status]]="Selected",1,0)</f>
        <v>1</v>
      </c>
    </row>
    <row r="578" spans="1:21" x14ac:dyDescent="0.25">
      <c r="A578" t="s">
        <v>882</v>
      </c>
      <c r="B578" t="s">
        <v>573</v>
      </c>
      <c r="C578" s="1">
        <v>46209</v>
      </c>
      <c r="D578" t="s">
        <v>33</v>
      </c>
      <c r="E578" t="s">
        <v>34</v>
      </c>
      <c r="F578" t="s">
        <v>50</v>
      </c>
      <c r="G578" t="s">
        <v>36</v>
      </c>
      <c r="H578" t="s">
        <v>44</v>
      </c>
      <c r="I578" t="s">
        <v>26</v>
      </c>
      <c r="J578" t="s">
        <v>27</v>
      </c>
      <c r="K578" s="1">
        <v>46226</v>
      </c>
      <c r="L578" t="s">
        <v>28</v>
      </c>
      <c r="M578" t="s">
        <v>37</v>
      </c>
      <c r="O578" t="s">
        <v>38</v>
      </c>
      <c r="Q578">
        <v>17</v>
      </c>
      <c r="T578" t="str">
        <f>IF(RecruitmentTable[[#This Row],[Final Status]]="In process","Screening",IF(RecruitmentTable[[#This Row],[Final Status]]="Selected","Offer","Rejected"))</f>
        <v>Rejected</v>
      </c>
      <c r="U578">
        <f>IF(RecruitmentTable[[#This Row],[Final Status]]="Selected",1,0)</f>
        <v>0</v>
      </c>
    </row>
    <row r="579" spans="1:21" x14ac:dyDescent="0.25">
      <c r="A579" t="s">
        <v>883</v>
      </c>
      <c r="B579" t="s">
        <v>439</v>
      </c>
      <c r="C579" s="1">
        <v>46214</v>
      </c>
      <c r="D579" t="s">
        <v>41</v>
      </c>
      <c r="E579" t="s">
        <v>42</v>
      </c>
      <c r="F579" t="s">
        <v>23</v>
      </c>
      <c r="G579" t="s">
        <v>24</v>
      </c>
      <c r="H579" t="s">
        <v>25</v>
      </c>
      <c r="I579" t="s">
        <v>26</v>
      </c>
      <c r="J579" t="s">
        <v>27</v>
      </c>
      <c r="K579" s="1">
        <v>46223</v>
      </c>
      <c r="L579" t="s">
        <v>28</v>
      </c>
      <c r="M579" t="s">
        <v>37</v>
      </c>
      <c r="O579" t="s">
        <v>38</v>
      </c>
      <c r="Q579">
        <v>9</v>
      </c>
      <c r="T579" t="str">
        <f>IF(RecruitmentTable[[#This Row],[Final Status]]="In process","Screening",IF(RecruitmentTable[[#This Row],[Final Status]]="Selected","Offer","Rejected"))</f>
        <v>Rejected</v>
      </c>
      <c r="U579">
        <f>IF(RecruitmentTable[[#This Row],[Final Status]]="Selected",1,0)</f>
        <v>0</v>
      </c>
    </row>
    <row r="580" spans="1:21" x14ac:dyDescent="0.25">
      <c r="A580" t="s">
        <v>884</v>
      </c>
      <c r="B580" t="s">
        <v>161</v>
      </c>
      <c r="C580" s="1">
        <v>46075</v>
      </c>
      <c r="D580" t="s">
        <v>41</v>
      </c>
      <c r="E580" t="s">
        <v>42</v>
      </c>
      <c r="F580" t="s">
        <v>23</v>
      </c>
      <c r="G580" t="s">
        <v>71</v>
      </c>
      <c r="H580" t="s">
        <v>62</v>
      </c>
      <c r="I580" t="s">
        <v>26</v>
      </c>
      <c r="J580" t="s">
        <v>38</v>
      </c>
      <c r="K580" s="1"/>
      <c r="L580" t="s">
        <v>58</v>
      </c>
      <c r="M580" t="s">
        <v>59</v>
      </c>
      <c r="O580" t="s">
        <v>38</v>
      </c>
      <c r="T580" t="str">
        <f>IF(RecruitmentTable[[#This Row],[Final Status]]="In process","Screening",IF(RecruitmentTable[[#This Row],[Final Status]]="Selected","Offer","Rejected"))</f>
        <v>Screening</v>
      </c>
      <c r="U580">
        <f>IF(RecruitmentTable[[#This Row],[Final Status]]="Selected",1,0)</f>
        <v>0</v>
      </c>
    </row>
    <row r="581" spans="1:21" x14ac:dyDescent="0.25">
      <c r="A581" t="s">
        <v>885</v>
      </c>
      <c r="B581" t="s">
        <v>233</v>
      </c>
      <c r="C581" s="1">
        <v>46203</v>
      </c>
      <c r="D581" t="s">
        <v>65</v>
      </c>
      <c r="E581" t="s">
        <v>42</v>
      </c>
      <c r="F581" t="s">
        <v>57</v>
      </c>
      <c r="G581" t="s">
        <v>36</v>
      </c>
      <c r="H581" t="s">
        <v>72</v>
      </c>
      <c r="I581" t="s">
        <v>26</v>
      </c>
      <c r="J581" t="s">
        <v>38</v>
      </c>
      <c r="K581" s="1"/>
      <c r="L581" t="s">
        <v>58</v>
      </c>
      <c r="M581" t="s">
        <v>59</v>
      </c>
      <c r="O581" t="s">
        <v>38</v>
      </c>
      <c r="T581" t="str">
        <f>IF(RecruitmentTable[[#This Row],[Final Status]]="In process","Screening",IF(RecruitmentTable[[#This Row],[Final Status]]="Selected","Offer","Rejected"))</f>
        <v>Screening</v>
      </c>
      <c r="U581">
        <f>IF(RecruitmentTable[[#This Row],[Final Status]]="Selected",1,0)</f>
        <v>0</v>
      </c>
    </row>
    <row r="582" spans="1:21" x14ac:dyDescent="0.25">
      <c r="A582" t="s">
        <v>886</v>
      </c>
      <c r="B582" t="s">
        <v>255</v>
      </c>
      <c r="C582" s="1">
        <v>46128</v>
      </c>
      <c r="D582" t="s">
        <v>65</v>
      </c>
      <c r="E582" t="s">
        <v>42</v>
      </c>
      <c r="F582" t="s">
        <v>100</v>
      </c>
      <c r="G582" t="s">
        <v>84</v>
      </c>
      <c r="H582" t="s">
        <v>51</v>
      </c>
      <c r="I582" t="s">
        <v>37</v>
      </c>
      <c r="J582" t="s">
        <v>38</v>
      </c>
      <c r="K582" s="1"/>
      <c r="L582" t="s">
        <v>38</v>
      </c>
      <c r="M582" t="s">
        <v>37</v>
      </c>
      <c r="O582" t="s">
        <v>38</v>
      </c>
      <c r="T582" t="str">
        <f>IF(RecruitmentTable[[#This Row],[Final Status]]="In process","Screening",IF(RecruitmentTable[[#This Row],[Final Status]]="Selected","Offer","Rejected"))</f>
        <v>Rejected</v>
      </c>
      <c r="U582">
        <f>IF(RecruitmentTable[[#This Row],[Final Status]]="Selected",1,0)</f>
        <v>0</v>
      </c>
    </row>
    <row r="583" spans="1:21" x14ac:dyDescent="0.25">
      <c r="A583" t="s">
        <v>887</v>
      </c>
      <c r="B583" t="s">
        <v>667</v>
      </c>
      <c r="C583" s="1">
        <v>46260</v>
      </c>
      <c r="D583" t="s">
        <v>65</v>
      </c>
      <c r="E583" t="s">
        <v>42</v>
      </c>
      <c r="F583" t="s">
        <v>57</v>
      </c>
      <c r="G583" t="s">
        <v>47</v>
      </c>
      <c r="H583" t="s">
        <v>62</v>
      </c>
      <c r="I583" t="s">
        <v>26</v>
      </c>
      <c r="J583" t="s">
        <v>27</v>
      </c>
      <c r="K583" s="1">
        <v>46267</v>
      </c>
      <c r="L583" t="s">
        <v>28</v>
      </c>
      <c r="M583" t="s">
        <v>37</v>
      </c>
      <c r="O583" t="s">
        <v>38</v>
      </c>
      <c r="Q583">
        <v>7</v>
      </c>
      <c r="T583" t="str">
        <f>IF(RecruitmentTable[[#This Row],[Final Status]]="In process","Screening",IF(RecruitmentTable[[#This Row],[Final Status]]="Selected","Offer","Rejected"))</f>
        <v>Rejected</v>
      </c>
      <c r="U583">
        <f>IF(RecruitmentTable[[#This Row],[Final Status]]="Selected",1,0)</f>
        <v>0</v>
      </c>
    </row>
    <row r="584" spans="1:21" x14ac:dyDescent="0.25">
      <c r="A584" t="s">
        <v>888</v>
      </c>
      <c r="B584" t="s">
        <v>185</v>
      </c>
      <c r="C584" s="1">
        <v>46128</v>
      </c>
      <c r="D584" t="s">
        <v>21</v>
      </c>
      <c r="E584" t="s">
        <v>22</v>
      </c>
      <c r="F584" t="s">
        <v>35</v>
      </c>
      <c r="G584" t="s">
        <v>47</v>
      </c>
      <c r="H584" t="s">
        <v>62</v>
      </c>
      <c r="I584" t="s">
        <v>37</v>
      </c>
      <c r="J584" t="s">
        <v>38</v>
      </c>
      <c r="K584" s="1"/>
      <c r="L584" t="s">
        <v>38</v>
      </c>
      <c r="M584" t="s">
        <v>37</v>
      </c>
      <c r="O584" t="s">
        <v>38</v>
      </c>
      <c r="T584" t="str">
        <f>IF(RecruitmentTable[[#This Row],[Final Status]]="In process","Screening",IF(RecruitmentTable[[#This Row],[Final Status]]="Selected","Offer","Rejected"))</f>
        <v>Rejected</v>
      </c>
      <c r="U584">
        <f>IF(RecruitmentTable[[#This Row],[Final Status]]="Selected",1,0)</f>
        <v>0</v>
      </c>
    </row>
    <row r="585" spans="1:21" x14ac:dyDescent="0.25">
      <c r="A585" t="s">
        <v>889</v>
      </c>
      <c r="B585" t="s">
        <v>592</v>
      </c>
      <c r="C585" s="1">
        <v>46284</v>
      </c>
      <c r="D585" t="s">
        <v>41</v>
      </c>
      <c r="E585" t="s">
        <v>42</v>
      </c>
      <c r="F585" t="s">
        <v>50</v>
      </c>
      <c r="G585" t="s">
        <v>71</v>
      </c>
      <c r="H585" t="s">
        <v>44</v>
      </c>
      <c r="I585" t="s">
        <v>26</v>
      </c>
      <c r="J585" t="s">
        <v>27</v>
      </c>
      <c r="K585" s="1">
        <v>46292</v>
      </c>
      <c r="L585" t="s">
        <v>28</v>
      </c>
      <c r="M585" t="s">
        <v>37</v>
      </c>
      <c r="O585" t="s">
        <v>38</v>
      </c>
      <c r="Q585">
        <v>8</v>
      </c>
      <c r="T585" t="str">
        <f>IF(RecruitmentTable[[#This Row],[Final Status]]="In process","Screening",IF(RecruitmentTable[[#This Row],[Final Status]]="Selected","Offer","Rejected"))</f>
        <v>Rejected</v>
      </c>
      <c r="U585">
        <f>IF(RecruitmentTable[[#This Row],[Final Status]]="Selected",1,0)</f>
        <v>0</v>
      </c>
    </row>
    <row r="586" spans="1:21" x14ac:dyDescent="0.25">
      <c r="A586" t="s">
        <v>890</v>
      </c>
      <c r="B586" t="s">
        <v>753</v>
      </c>
      <c r="C586" s="1">
        <v>46234</v>
      </c>
      <c r="D586" t="s">
        <v>56</v>
      </c>
      <c r="E586" t="s">
        <v>34</v>
      </c>
      <c r="F586" t="s">
        <v>43</v>
      </c>
      <c r="G586" t="s">
        <v>71</v>
      </c>
      <c r="H586" t="s">
        <v>25</v>
      </c>
      <c r="I586" t="s">
        <v>37</v>
      </c>
      <c r="J586" t="s">
        <v>38</v>
      </c>
      <c r="K586" s="1"/>
      <c r="L586" t="s">
        <v>38</v>
      </c>
      <c r="M586" t="s">
        <v>37</v>
      </c>
      <c r="O586" t="s">
        <v>38</v>
      </c>
      <c r="T586" t="str">
        <f>IF(RecruitmentTable[[#This Row],[Final Status]]="In process","Screening",IF(RecruitmentTable[[#This Row],[Final Status]]="Selected","Offer","Rejected"))</f>
        <v>Rejected</v>
      </c>
      <c r="U586">
        <f>IF(RecruitmentTable[[#This Row],[Final Status]]="Selected",1,0)</f>
        <v>0</v>
      </c>
    </row>
    <row r="587" spans="1:21" x14ac:dyDescent="0.25">
      <c r="A587" t="s">
        <v>891</v>
      </c>
      <c r="B587" t="s">
        <v>394</v>
      </c>
      <c r="C587" s="1">
        <v>46171</v>
      </c>
      <c r="D587" t="s">
        <v>41</v>
      </c>
      <c r="E587" t="s">
        <v>42</v>
      </c>
      <c r="F587" t="s">
        <v>100</v>
      </c>
      <c r="G587" t="s">
        <v>24</v>
      </c>
      <c r="H587" t="s">
        <v>72</v>
      </c>
      <c r="I587" t="s">
        <v>26</v>
      </c>
      <c r="J587" t="s">
        <v>38</v>
      </c>
      <c r="K587" s="1"/>
      <c r="L587" t="s">
        <v>58</v>
      </c>
      <c r="M587" t="s">
        <v>59</v>
      </c>
      <c r="O587" t="s">
        <v>38</v>
      </c>
      <c r="T587" t="str">
        <f>IF(RecruitmentTable[[#This Row],[Final Status]]="In process","Screening",IF(RecruitmentTable[[#This Row],[Final Status]]="Selected","Offer","Rejected"))</f>
        <v>Screening</v>
      </c>
      <c r="U587">
        <f>IF(RecruitmentTable[[#This Row],[Final Status]]="Selected",1,0)</f>
        <v>0</v>
      </c>
    </row>
    <row r="588" spans="1:21" x14ac:dyDescent="0.25">
      <c r="A588" t="s">
        <v>892</v>
      </c>
      <c r="B588" t="s">
        <v>619</v>
      </c>
      <c r="C588" s="1">
        <v>46066</v>
      </c>
      <c r="D588" t="s">
        <v>33</v>
      </c>
      <c r="E588" t="s">
        <v>34</v>
      </c>
      <c r="F588" t="s">
        <v>57</v>
      </c>
      <c r="G588" t="s">
        <v>24</v>
      </c>
      <c r="H588" t="s">
        <v>62</v>
      </c>
      <c r="I588" t="s">
        <v>37</v>
      </c>
      <c r="J588" t="s">
        <v>38</v>
      </c>
      <c r="K588" s="1"/>
      <c r="L588" t="s">
        <v>38</v>
      </c>
      <c r="M588" t="s">
        <v>37</v>
      </c>
      <c r="O588" t="s">
        <v>38</v>
      </c>
      <c r="T588" t="str">
        <f>IF(RecruitmentTable[[#This Row],[Final Status]]="In process","Screening",IF(RecruitmentTable[[#This Row],[Final Status]]="Selected","Offer","Rejected"))</f>
        <v>Rejected</v>
      </c>
      <c r="U588">
        <f>IF(RecruitmentTable[[#This Row],[Final Status]]="Selected",1,0)</f>
        <v>0</v>
      </c>
    </row>
    <row r="589" spans="1:21" x14ac:dyDescent="0.25">
      <c r="A589" t="s">
        <v>893</v>
      </c>
      <c r="B589" t="s">
        <v>710</v>
      </c>
      <c r="C589" s="1">
        <v>46142</v>
      </c>
      <c r="D589" t="s">
        <v>33</v>
      </c>
      <c r="E589" t="s">
        <v>34</v>
      </c>
      <c r="F589" t="s">
        <v>35</v>
      </c>
      <c r="G589" t="s">
        <v>36</v>
      </c>
      <c r="H589" t="s">
        <v>72</v>
      </c>
      <c r="I589" t="s">
        <v>26</v>
      </c>
      <c r="J589" t="s">
        <v>27</v>
      </c>
      <c r="K589" s="1">
        <v>46156</v>
      </c>
      <c r="L589" t="s">
        <v>28</v>
      </c>
      <c r="M589" t="s">
        <v>29</v>
      </c>
      <c r="N589" s="1">
        <v>46159</v>
      </c>
      <c r="O589" t="s">
        <v>30</v>
      </c>
      <c r="P589" s="1">
        <v>46182</v>
      </c>
      <c r="Q589">
        <v>14</v>
      </c>
      <c r="R589">
        <v>3</v>
      </c>
      <c r="S589">
        <v>23</v>
      </c>
      <c r="T589" t="str">
        <f>IF(RecruitmentTable[[#This Row],[Final Status]]="In process","Screening",IF(RecruitmentTable[[#This Row],[Final Status]]="Selected","Offer","Rejected"))</f>
        <v>Offer</v>
      </c>
      <c r="U589">
        <f>IF(RecruitmentTable[[#This Row],[Final Status]]="Selected",1,0)</f>
        <v>1</v>
      </c>
    </row>
    <row r="590" spans="1:21" x14ac:dyDescent="0.25">
      <c r="A590" t="s">
        <v>894</v>
      </c>
      <c r="B590" t="s">
        <v>384</v>
      </c>
      <c r="C590" s="1">
        <v>46054</v>
      </c>
      <c r="D590" t="s">
        <v>33</v>
      </c>
      <c r="E590" t="s">
        <v>34</v>
      </c>
      <c r="F590" t="s">
        <v>23</v>
      </c>
      <c r="G590" t="s">
        <v>36</v>
      </c>
      <c r="H590" t="s">
        <v>72</v>
      </c>
      <c r="I590" t="s">
        <v>26</v>
      </c>
      <c r="J590" t="s">
        <v>38</v>
      </c>
      <c r="K590" s="1"/>
      <c r="L590" t="s">
        <v>58</v>
      </c>
      <c r="M590" t="s">
        <v>59</v>
      </c>
      <c r="O590" t="s">
        <v>38</v>
      </c>
      <c r="T590" t="str">
        <f>IF(RecruitmentTable[[#This Row],[Final Status]]="In process","Screening",IF(RecruitmentTable[[#This Row],[Final Status]]="Selected","Offer","Rejected"))</f>
        <v>Screening</v>
      </c>
      <c r="U590">
        <f>IF(RecruitmentTable[[#This Row],[Final Status]]="Selected",1,0)</f>
        <v>0</v>
      </c>
    </row>
    <row r="591" spans="1:21" x14ac:dyDescent="0.25">
      <c r="A591" t="s">
        <v>895</v>
      </c>
      <c r="B591" t="s">
        <v>131</v>
      </c>
      <c r="C591" s="1">
        <v>46235</v>
      </c>
      <c r="D591" t="s">
        <v>56</v>
      </c>
      <c r="E591" t="s">
        <v>34</v>
      </c>
      <c r="F591" t="s">
        <v>43</v>
      </c>
      <c r="G591" t="s">
        <v>24</v>
      </c>
      <c r="H591" t="s">
        <v>44</v>
      </c>
      <c r="I591" t="s">
        <v>26</v>
      </c>
      <c r="J591" t="s">
        <v>27</v>
      </c>
      <c r="K591" s="1">
        <v>46252</v>
      </c>
      <c r="L591" t="s">
        <v>28</v>
      </c>
      <c r="M591" t="s">
        <v>37</v>
      </c>
      <c r="O591" t="s">
        <v>38</v>
      </c>
      <c r="Q591">
        <v>17</v>
      </c>
      <c r="T591" t="str">
        <f>IF(RecruitmentTable[[#This Row],[Final Status]]="In process","Screening",IF(RecruitmentTable[[#This Row],[Final Status]]="Selected","Offer","Rejected"))</f>
        <v>Rejected</v>
      </c>
      <c r="U591">
        <f>IF(RecruitmentTable[[#This Row],[Final Status]]="Selected",1,0)</f>
        <v>0</v>
      </c>
    </row>
    <row r="592" spans="1:21" x14ac:dyDescent="0.25">
      <c r="A592" t="s">
        <v>896</v>
      </c>
      <c r="B592" t="s">
        <v>238</v>
      </c>
      <c r="C592" s="1">
        <v>46052</v>
      </c>
      <c r="D592" t="s">
        <v>56</v>
      </c>
      <c r="E592" t="s">
        <v>34</v>
      </c>
      <c r="F592" t="s">
        <v>23</v>
      </c>
      <c r="G592" t="s">
        <v>24</v>
      </c>
      <c r="H592" t="s">
        <v>62</v>
      </c>
      <c r="I592" t="s">
        <v>37</v>
      </c>
      <c r="J592" t="s">
        <v>38</v>
      </c>
      <c r="K592" s="1"/>
      <c r="L592" t="s">
        <v>38</v>
      </c>
      <c r="M592" t="s">
        <v>37</v>
      </c>
      <c r="O592" t="s">
        <v>38</v>
      </c>
      <c r="T592" t="str">
        <f>IF(RecruitmentTable[[#This Row],[Final Status]]="In process","Screening",IF(RecruitmentTable[[#This Row],[Final Status]]="Selected","Offer","Rejected"))</f>
        <v>Rejected</v>
      </c>
      <c r="U592">
        <f>IF(RecruitmentTable[[#This Row],[Final Status]]="Selected",1,0)</f>
        <v>0</v>
      </c>
    </row>
    <row r="593" spans="1:21" x14ac:dyDescent="0.25">
      <c r="A593" t="s">
        <v>897</v>
      </c>
      <c r="B593" t="s">
        <v>898</v>
      </c>
      <c r="C593" s="1">
        <v>46035</v>
      </c>
      <c r="D593" t="s">
        <v>21</v>
      </c>
      <c r="E593" t="s">
        <v>22</v>
      </c>
      <c r="F593" t="s">
        <v>50</v>
      </c>
      <c r="G593" t="s">
        <v>84</v>
      </c>
      <c r="H593" t="s">
        <v>25</v>
      </c>
      <c r="I593" t="s">
        <v>26</v>
      </c>
      <c r="J593" t="s">
        <v>27</v>
      </c>
      <c r="K593" s="1">
        <v>46040</v>
      </c>
      <c r="L593" t="s">
        <v>28</v>
      </c>
      <c r="M593" t="s">
        <v>29</v>
      </c>
      <c r="N593" s="1">
        <v>46046</v>
      </c>
      <c r="O593" t="s">
        <v>30</v>
      </c>
      <c r="P593" s="1">
        <v>46063</v>
      </c>
      <c r="Q593">
        <v>5</v>
      </c>
      <c r="R593">
        <v>6</v>
      </c>
      <c r="S593">
        <v>17</v>
      </c>
      <c r="T593" t="str">
        <f>IF(RecruitmentTable[[#This Row],[Final Status]]="In process","Screening",IF(RecruitmentTable[[#This Row],[Final Status]]="Selected","Offer","Rejected"))</f>
        <v>Offer</v>
      </c>
      <c r="U593">
        <f>IF(RecruitmentTable[[#This Row],[Final Status]]="Selected",1,0)</f>
        <v>1</v>
      </c>
    </row>
    <row r="594" spans="1:21" x14ac:dyDescent="0.25">
      <c r="A594" t="s">
        <v>899</v>
      </c>
      <c r="B594" t="s">
        <v>861</v>
      </c>
      <c r="C594" s="1">
        <v>46134</v>
      </c>
      <c r="D594" t="s">
        <v>65</v>
      </c>
      <c r="E594" t="s">
        <v>42</v>
      </c>
      <c r="F594" t="s">
        <v>57</v>
      </c>
      <c r="G594" t="s">
        <v>36</v>
      </c>
      <c r="H594" t="s">
        <v>25</v>
      </c>
      <c r="I594" t="s">
        <v>26</v>
      </c>
      <c r="J594" t="s">
        <v>27</v>
      </c>
      <c r="K594" s="1">
        <v>46149</v>
      </c>
      <c r="L594" t="s">
        <v>28</v>
      </c>
      <c r="M594" t="s">
        <v>29</v>
      </c>
      <c r="N594" s="1">
        <v>46154</v>
      </c>
      <c r="O594" t="s">
        <v>227</v>
      </c>
      <c r="Q594">
        <v>15</v>
      </c>
      <c r="R594">
        <v>5</v>
      </c>
      <c r="T594" t="str">
        <f>IF(RecruitmentTable[[#This Row],[Final Status]]="In process","Screening",IF(RecruitmentTable[[#This Row],[Final Status]]="Selected","Offer","Rejected"))</f>
        <v>Offer</v>
      </c>
      <c r="U594">
        <f>IF(RecruitmentTable[[#This Row],[Final Status]]="Selected",1,0)</f>
        <v>1</v>
      </c>
    </row>
    <row r="595" spans="1:21" x14ac:dyDescent="0.25">
      <c r="A595" t="s">
        <v>900</v>
      </c>
      <c r="B595" t="s">
        <v>901</v>
      </c>
      <c r="C595" s="1">
        <v>46280</v>
      </c>
      <c r="D595" t="s">
        <v>41</v>
      </c>
      <c r="E595" t="s">
        <v>42</v>
      </c>
      <c r="F595" t="s">
        <v>23</v>
      </c>
      <c r="G595" t="s">
        <v>84</v>
      </c>
      <c r="H595" t="s">
        <v>44</v>
      </c>
      <c r="I595" t="s">
        <v>26</v>
      </c>
      <c r="J595" t="s">
        <v>27</v>
      </c>
      <c r="K595" s="1">
        <v>46288</v>
      </c>
      <c r="L595" t="s">
        <v>28</v>
      </c>
      <c r="M595" t="s">
        <v>37</v>
      </c>
      <c r="O595" t="s">
        <v>38</v>
      </c>
      <c r="Q595">
        <v>8</v>
      </c>
      <c r="T595" t="str">
        <f>IF(RecruitmentTable[[#This Row],[Final Status]]="In process","Screening",IF(RecruitmentTable[[#This Row],[Final Status]]="Selected","Offer","Rejected"))</f>
        <v>Rejected</v>
      </c>
      <c r="U595">
        <f>IF(RecruitmentTable[[#This Row],[Final Status]]="Selected",1,0)</f>
        <v>0</v>
      </c>
    </row>
    <row r="596" spans="1:21" x14ac:dyDescent="0.25">
      <c r="A596" t="s">
        <v>902</v>
      </c>
      <c r="B596" t="s">
        <v>431</v>
      </c>
      <c r="C596" s="1">
        <v>46191</v>
      </c>
      <c r="D596" t="s">
        <v>41</v>
      </c>
      <c r="E596" t="s">
        <v>42</v>
      </c>
      <c r="F596" t="s">
        <v>57</v>
      </c>
      <c r="G596" t="s">
        <v>84</v>
      </c>
      <c r="H596" t="s">
        <v>44</v>
      </c>
      <c r="I596" t="s">
        <v>37</v>
      </c>
      <c r="J596" t="s">
        <v>38</v>
      </c>
      <c r="K596" s="1"/>
      <c r="L596" t="s">
        <v>38</v>
      </c>
      <c r="M596" t="s">
        <v>37</v>
      </c>
      <c r="O596" t="s">
        <v>38</v>
      </c>
      <c r="T596" t="str">
        <f>IF(RecruitmentTable[[#This Row],[Final Status]]="In process","Screening",IF(RecruitmentTable[[#This Row],[Final Status]]="Selected","Offer","Rejected"))</f>
        <v>Rejected</v>
      </c>
      <c r="U596">
        <f>IF(RecruitmentTable[[#This Row],[Final Status]]="Selected",1,0)</f>
        <v>0</v>
      </c>
    </row>
    <row r="597" spans="1:21" x14ac:dyDescent="0.25">
      <c r="A597" t="s">
        <v>903</v>
      </c>
      <c r="B597" t="s">
        <v>294</v>
      </c>
      <c r="C597" s="1">
        <v>46220</v>
      </c>
      <c r="D597" t="s">
        <v>83</v>
      </c>
      <c r="E597" t="s">
        <v>34</v>
      </c>
      <c r="F597" t="s">
        <v>35</v>
      </c>
      <c r="G597" t="s">
        <v>24</v>
      </c>
      <c r="H597" t="s">
        <v>25</v>
      </c>
      <c r="I597" t="s">
        <v>37</v>
      </c>
      <c r="J597" t="s">
        <v>38</v>
      </c>
      <c r="K597" s="1"/>
      <c r="L597" t="s">
        <v>38</v>
      </c>
      <c r="M597" t="s">
        <v>37</v>
      </c>
      <c r="O597" t="s">
        <v>38</v>
      </c>
      <c r="T597" t="str">
        <f>IF(RecruitmentTable[[#This Row],[Final Status]]="In process","Screening",IF(RecruitmentTable[[#This Row],[Final Status]]="Selected","Offer","Rejected"))</f>
        <v>Rejected</v>
      </c>
      <c r="U597">
        <f>IF(RecruitmentTable[[#This Row],[Final Status]]="Selected",1,0)</f>
        <v>0</v>
      </c>
    </row>
    <row r="598" spans="1:21" x14ac:dyDescent="0.25">
      <c r="A598" t="s">
        <v>904</v>
      </c>
      <c r="B598" t="s">
        <v>179</v>
      </c>
      <c r="C598" s="1">
        <v>46259</v>
      </c>
      <c r="D598" t="s">
        <v>83</v>
      </c>
      <c r="E598" t="s">
        <v>34</v>
      </c>
      <c r="F598" t="s">
        <v>57</v>
      </c>
      <c r="G598" t="s">
        <v>47</v>
      </c>
      <c r="H598" t="s">
        <v>62</v>
      </c>
      <c r="I598" t="s">
        <v>26</v>
      </c>
      <c r="J598" t="s">
        <v>38</v>
      </c>
      <c r="K598" s="1"/>
      <c r="L598" t="s">
        <v>58</v>
      </c>
      <c r="M598" t="s">
        <v>59</v>
      </c>
      <c r="O598" t="s">
        <v>38</v>
      </c>
      <c r="T598" t="str">
        <f>IF(RecruitmentTable[[#This Row],[Final Status]]="In process","Screening",IF(RecruitmentTable[[#This Row],[Final Status]]="Selected","Offer","Rejected"))</f>
        <v>Screening</v>
      </c>
      <c r="U598">
        <f>IF(RecruitmentTable[[#This Row],[Final Status]]="Selected",1,0)</f>
        <v>0</v>
      </c>
    </row>
    <row r="599" spans="1:21" x14ac:dyDescent="0.25">
      <c r="A599" t="s">
        <v>905</v>
      </c>
      <c r="B599" t="s">
        <v>834</v>
      </c>
      <c r="C599" s="1">
        <v>46181</v>
      </c>
      <c r="D599" t="s">
        <v>41</v>
      </c>
      <c r="E599" t="s">
        <v>42</v>
      </c>
      <c r="F599" t="s">
        <v>35</v>
      </c>
      <c r="G599" t="s">
        <v>24</v>
      </c>
      <c r="H599" t="s">
        <v>25</v>
      </c>
      <c r="I599" t="s">
        <v>26</v>
      </c>
      <c r="J599" t="s">
        <v>27</v>
      </c>
      <c r="K599" s="1">
        <v>46189</v>
      </c>
      <c r="L599" t="s">
        <v>28</v>
      </c>
      <c r="M599" t="s">
        <v>37</v>
      </c>
      <c r="O599" t="s">
        <v>38</v>
      </c>
      <c r="Q599">
        <v>8</v>
      </c>
      <c r="T599" t="str">
        <f>IF(RecruitmentTable[[#This Row],[Final Status]]="In process","Screening",IF(RecruitmentTable[[#This Row],[Final Status]]="Selected","Offer","Rejected"))</f>
        <v>Rejected</v>
      </c>
      <c r="U599">
        <f>IF(RecruitmentTable[[#This Row],[Final Status]]="Selected",1,0)</f>
        <v>0</v>
      </c>
    </row>
    <row r="600" spans="1:21" x14ac:dyDescent="0.25">
      <c r="A600" t="s">
        <v>906</v>
      </c>
      <c r="B600" t="s">
        <v>78</v>
      </c>
      <c r="C600" s="1">
        <v>46121</v>
      </c>
      <c r="D600" t="s">
        <v>41</v>
      </c>
      <c r="E600" t="s">
        <v>42</v>
      </c>
      <c r="F600" t="s">
        <v>50</v>
      </c>
      <c r="G600" t="s">
        <v>66</v>
      </c>
      <c r="H600" t="s">
        <v>51</v>
      </c>
      <c r="I600" t="s">
        <v>26</v>
      </c>
      <c r="J600" t="s">
        <v>38</v>
      </c>
      <c r="K600" s="1"/>
      <c r="L600" t="s">
        <v>58</v>
      </c>
      <c r="M600" t="s">
        <v>59</v>
      </c>
      <c r="O600" t="s">
        <v>38</v>
      </c>
      <c r="T600" t="str">
        <f>IF(RecruitmentTable[[#This Row],[Final Status]]="In process","Screening",IF(RecruitmentTable[[#This Row],[Final Status]]="Selected","Offer","Rejected"))</f>
        <v>Screening</v>
      </c>
      <c r="U600">
        <f>IF(RecruitmentTable[[#This Row],[Final Status]]="Selected",1,0)</f>
        <v>0</v>
      </c>
    </row>
    <row r="601" spans="1:21" x14ac:dyDescent="0.25">
      <c r="A601" t="s">
        <v>907</v>
      </c>
      <c r="B601" t="s">
        <v>313</v>
      </c>
      <c r="C601" s="1">
        <v>46203</v>
      </c>
      <c r="D601" t="s">
        <v>56</v>
      </c>
      <c r="E601" t="s">
        <v>34</v>
      </c>
      <c r="F601" t="s">
        <v>23</v>
      </c>
      <c r="G601" t="s">
        <v>71</v>
      </c>
      <c r="H601" t="s">
        <v>62</v>
      </c>
      <c r="I601" t="s">
        <v>26</v>
      </c>
      <c r="J601" t="s">
        <v>38</v>
      </c>
      <c r="K601" s="1"/>
      <c r="L601" t="s">
        <v>58</v>
      </c>
      <c r="M601" t="s">
        <v>59</v>
      </c>
      <c r="O601" t="s">
        <v>38</v>
      </c>
      <c r="T601" t="str">
        <f>IF(RecruitmentTable[[#This Row],[Final Status]]="In process","Screening",IF(RecruitmentTable[[#This Row],[Final Status]]="Selected","Offer","Rejected"))</f>
        <v>Screening</v>
      </c>
      <c r="U601">
        <f>IF(RecruitmentTable[[#This Row],[Final Status]]="Selected",1,0)</f>
        <v>0</v>
      </c>
    </row>
    <row r="602" spans="1:21" x14ac:dyDescent="0.25">
      <c r="A602" t="s">
        <v>908</v>
      </c>
      <c r="B602" t="s">
        <v>125</v>
      </c>
      <c r="C602" s="1">
        <v>46283</v>
      </c>
      <c r="D602" t="s">
        <v>83</v>
      </c>
      <c r="E602" t="s">
        <v>34</v>
      </c>
      <c r="F602" t="s">
        <v>57</v>
      </c>
      <c r="G602" t="s">
        <v>24</v>
      </c>
      <c r="H602" t="s">
        <v>44</v>
      </c>
      <c r="I602" t="s">
        <v>37</v>
      </c>
      <c r="J602" t="s">
        <v>38</v>
      </c>
      <c r="K602" s="1"/>
      <c r="L602" t="s">
        <v>38</v>
      </c>
      <c r="M602" t="s">
        <v>37</v>
      </c>
      <c r="O602" t="s">
        <v>38</v>
      </c>
      <c r="T602" t="str">
        <f>IF(RecruitmentTable[[#This Row],[Final Status]]="In process","Screening",IF(RecruitmentTable[[#This Row],[Final Status]]="Selected","Offer","Rejected"))</f>
        <v>Rejected</v>
      </c>
      <c r="U602">
        <f>IF(RecruitmentTable[[#This Row],[Final Status]]="Selected",1,0)</f>
        <v>0</v>
      </c>
    </row>
    <row r="603" spans="1:21" x14ac:dyDescent="0.25">
      <c r="A603" t="s">
        <v>909</v>
      </c>
      <c r="B603" t="s">
        <v>910</v>
      </c>
      <c r="C603" s="1">
        <v>46237</v>
      </c>
      <c r="D603" t="s">
        <v>56</v>
      </c>
      <c r="E603" t="s">
        <v>34</v>
      </c>
      <c r="F603" t="s">
        <v>43</v>
      </c>
      <c r="G603" t="s">
        <v>47</v>
      </c>
      <c r="H603" t="s">
        <v>25</v>
      </c>
      <c r="I603" t="s">
        <v>37</v>
      </c>
      <c r="J603" t="s">
        <v>38</v>
      </c>
      <c r="K603" s="1"/>
      <c r="L603" t="s">
        <v>38</v>
      </c>
      <c r="M603" t="s">
        <v>37</v>
      </c>
      <c r="O603" t="s">
        <v>38</v>
      </c>
      <c r="T603" t="str">
        <f>IF(RecruitmentTable[[#This Row],[Final Status]]="In process","Screening",IF(RecruitmentTable[[#This Row],[Final Status]]="Selected","Offer","Rejected"))</f>
        <v>Rejected</v>
      </c>
      <c r="U603">
        <f>IF(RecruitmentTable[[#This Row],[Final Status]]="Selected",1,0)</f>
        <v>0</v>
      </c>
    </row>
    <row r="604" spans="1:21" x14ac:dyDescent="0.25">
      <c r="A604" t="s">
        <v>911</v>
      </c>
      <c r="B604" t="s">
        <v>276</v>
      </c>
      <c r="C604" s="1">
        <v>46085</v>
      </c>
      <c r="D604" t="s">
        <v>65</v>
      </c>
      <c r="E604" t="s">
        <v>42</v>
      </c>
      <c r="F604" t="s">
        <v>35</v>
      </c>
      <c r="G604" t="s">
        <v>24</v>
      </c>
      <c r="H604" t="s">
        <v>25</v>
      </c>
      <c r="I604" t="s">
        <v>37</v>
      </c>
      <c r="J604" t="s">
        <v>38</v>
      </c>
      <c r="K604" s="1"/>
      <c r="L604" t="s">
        <v>38</v>
      </c>
      <c r="M604" t="s">
        <v>37</v>
      </c>
      <c r="O604" t="s">
        <v>38</v>
      </c>
      <c r="T604" t="str">
        <f>IF(RecruitmentTable[[#This Row],[Final Status]]="In process","Screening",IF(RecruitmentTable[[#This Row],[Final Status]]="Selected","Offer","Rejected"))</f>
        <v>Rejected</v>
      </c>
      <c r="U604">
        <f>IF(RecruitmentTable[[#This Row],[Final Status]]="Selected",1,0)</f>
        <v>0</v>
      </c>
    </row>
    <row r="605" spans="1:21" x14ac:dyDescent="0.25">
      <c r="A605" t="s">
        <v>912</v>
      </c>
      <c r="B605" t="s">
        <v>626</v>
      </c>
      <c r="C605" s="1">
        <v>46229</v>
      </c>
      <c r="D605" t="s">
        <v>56</v>
      </c>
      <c r="E605" t="s">
        <v>34</v>
      </c>
      <c r="F605" t="s">
        <v>57</v>
      </c>
      <c r="G605" t="s">
        <v>66</v>
      </c>
      <c r="H605" t="s">
        <v>51</v>
      </c>
      <c r="I605" t="s">
        <v>26</v>
      </c>
      <c r="J605" t="s">
        <v>27</v>
      </c>
      <c r="K605" s="1">
        <v>46243</v>
      </c>
      <c r="L605" t="s">
        <v>28</v>
      </c>
      <c r="M605" t="s">
        <v>37</v>
      </c>
      <c r="O605" t="s">
        <v>38</v>
      </c>
      <c r="Q605">
        <v>14</v>
      </c>
      <c r="T605" t="str">
        <f>IF(RecruitmentTable[[#This Row],[Final Status]]="In process","Screening",IF(RecruitmentTable[[#This Row],[Final Status]]="Selected","Offer","Rejected"))</f>
        <v>Rejected</v>
      </c>
      <c r="U605">
        <f>IF(RecruitmentTable[[#This Row],[Final Status]]="Selected",1,0)</f>
        <v>0</v>
      </c>
    </row>
    <row r="606" spans="1:21" x14ac:dyDescent="0.25">
      <c r="A606" t="s">
        <v>913</v>
      </c>
      <c r="B606" t="s">
        <v>99</v>
      </c>
      <c r="C606" s="1">
        <v>46192</v>
      </c>
      <c r="D606" t="s">
        <v>65</v>
      </c>
      <c r="E606" t="s">
        <v>42</v>
      </c>
      <c r="F606" t="s">
        <v>43</v>
      </c>
      <c r="G606" t="s">
        <v>24</v>
      </c>
      <c r="H606" t="s">
        <v>44</v>
      </c>
      <c r="I606" t="s">
        <v>37</v>
      </c>
      <c r="J606" t="s">
        <v>38</v>
      </c>
      <c r="K606" s="1"/>
      <c r="L606" t="s">
        <v>38</v>
      </c>
      <c r="M606" t="s">
        <v>37</v>
      </c>
      <c r="O606" t="s">
        <v>38</v>
      </c>
      <c r="T606" t="str">
        <f>IF(RecruitmentTable[[#This Row],[Final Status]]="In process","Screening",IF(RecruitmentTable[[#This Row],[Final Status]]="Selected","Offer","Rejected"))</f>
        <v>Rejected</v>
      </c>
      <c r="U606">
        <f>IF(RecruitmentTable[[#This Row],[Final Status]]="Selected",1,0)</f>
        <v>0</v>
      </c>
    </row>
    <row r="607" spans="1:21" x14ac:dyDescent="0.25">
      <c r="A607" t="s">
        <v>914</v>
      </c>
      <c r="B607" t="s">
        <v>839</v>
      </c>
      <c r="C607" s="1">
        <v>46221</v>
      </c>
      <c r="D607" t="s">
        <v>56</v>
      </c>
      <c r="E607" t="s">
        <v>34</v>
      </c>
      <c r="F607" t="s">
        <v>57</v>
      </c>
      <c r="G607" t="s">
        <v>66</v>
      </c>
      <c r="H607" t="s">
        <v>62</v>
      </c>
      <c r="I607" t="s">
        <v>26</v>
      </c>
      <c r="J607" t="s">
        <v>38</v>
      </c>
      <c r="K607" s="1"/>
      <c r="L607" t="s">
        <v>58</v>
      </c>
      <c r="M607" t="s">
        <v>59</v>
      </c>
      <c r="O607" t="s">
        <v>38</v>
      </c>
      <c r="T607" t="str">
        <f>IF(RecruitmentTable[[#This Row],[Final Status]]="In process","Screening",IF(RecruitmentTable[[#This Row],[Final Status]]="Selected","Offer","Rejected"))</f>
        <v>Screening</v>
      </c>
      <c r="U607">
        <f>IF(RecruitmentTable[[#This Row],[Final Status]]="Selected",1,0)</f>
        <v>0</v>
      </c>
    </row>
    <row r="608" spans="1:21" x14ac:dyDescent="0.25">
      <c r="A608" t="s">
        <v>915</v>
      </c>
      <c r="B608" t="s">
        <v>520</v>
      </c>
      <c r="C608" s="1">
        <v>46102</v>
      </c>
      <c r="D608" t="s">
        <v>65</v>
      </c>
      <c r="E608" t="s">
        <v>42</v>
      </c>
      <c r="F608" t="s">
        <v>35</v>
      </c>
      <c r="G608" t="s">
        <v>71</v>
      </c>
      <c r="H608" t="s">
        <v>44</v>
      </c>
      <c r="I608" t="s">
        <v>26</v>
      </c>
      <c r="J608" t="s">
        <v>38</v>
      </c>
      <c r="K608" s="1"/>
      <c r="L608" t="s">
        <v>58</v>
      </c>
      <c r="M608" t="s">
        <v>59</v>
      </c>
      <c r="O608" t="s">
        <v>38</v>
      </c>
      <c r="T608" t="str">
        <f>IF(RecruitmentTable[[#This Row],[Final Status]]="In process","Screening",IF(RecruitmentTable[[#This Row],[Final Status]]="Selected","Offer","Rejected"))</f>
        <v>Screening</v>
      </c>
      <c r="U608">
        <f>IF(RecruitmentTable[[#This Row],[Final Status]]="Selected",1,0)</f>
        <v>0</v>
      </c>
    </row>
    <row r="609" spans="1:21" x14ac:dyDescent="0.25">
      <c r="A609" t="s">
        <v>916</v>
      </c>
      <c r="B609" t="s">
        <v>917</v>
      </c>
      <c r="C609" s="1">
        <v>46136</v>
      </c>
      <c r="D609" t="s">
        <v>33</v>
      </c>
      <c r="E609" t="s">
        <v>34</v>
      </c>
      <c r="F609" t="s">
        <v>57</v>
      </c>
      <c r="G609" t="s">
        <v>36</v>
      </c>
      <c r="H609" t="s">
        <v>25</v>
      </c>
      <c r="I609" t="s">
        <v>26</v>
      </c>
      <c r="J609" t="s">
        <v>38</v>
      </c>
      <c r="K609" s="1"/>
      <c r="L609" t="s">
        <v>58</v>
      </c>
      <c r="M609" t="s">
        <v>59</v>
      </c>
      <c r="O609" t="s">
        <v>38</v>
      </c>
      <c r="T609" t="str">
        <f>IF(RecruitmentTable[[#This Row],[Final Status]]="In process","Screening",IF(RecruitmentTable[[#This Row],[Final Status]]="Selected","Offer","Rejected"))</f>
        <v>Screening</v>
      </c>
      <c r="U609">
        <f>IF(RecruitmentTable[[#This Row],[Final Status]]="Selected",1,0)</f>
        <v>0</v>
      </c>
    </row>
    <row r="610" spans="1:21" x14ac:dyDescent="0.25">
      <c r="A610" t="s">
        <v>918</v>
      </c>
      <c r="B610" t="s">
        <v>598</v>
      </c>
      <c r="C610" s="1">
        <v>46173</v>
      </c>
      <c r="D610" t="s">
        <v>33</v>
      </c>
      <c r="E610" t="s">
        <v>34</v>
      </c>
      <c r="F610" t="s">
        <v>57</v>
      </c>
      <c r="G610" t="s">
        <v>36</v>
      </c>
      <c r="H610" t="s">
        <v>51</v>
      </c>
      <c r="I610" t="s">
        <v>37</v>
      </c>
      <c r="J610" t="s">
        <v>38</v>
      </c>
      <c r="K610" s="1"/>
      <c r="L610" t="s">
        <v>38</v>
      </c>
      <c r="M610" t="s">
        <v>37</v>
      </c>
      <c r="O610" t="s">
        <v>38</v>
      </c>
      <c r="T610" t="str">
        <f>IF(RecruitmentTable[[#This Row],[Final Status]]="In process","Screening",IF(RecruitmentTable[[#This Row],[Final Status]]="Selected","Offer","Rejected"))</f>
        <v>Rejected</v>
      </c>
      <c r="U610">
        <f>IF(RecruitmentTable[[#This Row],[Final Status]]="Selected",1,0)</f>
        <v>0</v>
      </c>
    </row>
    <row r="611" spans="1:21" x14ac:dyDescent="0.25">
      <c r="A611" t="s">
        <v>919</v>
      </c>
      <c r="B611" t="s">
        <v>255</v>
      </c>
      <c r="C611" s="1">
        <v>46067</v>
      </c>
      <c r="D611" t="s">
        <v>41</v>
      </c>
      <c r="E611" t="s">
        <v>42</v>
      </c>
      <c r="F611" t="s">
        <v>57</v>
      </c>
      <c r="G611" t="s">
        <v>24</v>
      </c>
      <c r="H611" t="s">
        <v>44</v>
      </c>
      <c r="I611" t="s">
        <v>37</v>
      </c>
      <c r="J611" t="s">
        <v>38</v>
      </c>
      <c r="K611" s="1"/>
      <c r="L611" t="s">
        <v>38</v>
      </c>
      <c r="M611" t="s">
        <v>37</v>
      </c>
      <c r="O611" t="s">
        <v>38</v>
      </c>
      <c r="T611" t="str">
        <f>IF(RecruitmentTable[[#This Row],[Final Status]]="In process","Screening",IF(RecruitmentTable[[#This Row],[Final Status]]="Selected","Offer","Rejected"))</f>
        <v>Rejected</v>
      </c>
      <c r="U611">
        <f>IF(RecruitmentTable[[#This Row],[Final Status]]="Selected",1,0)</f>
        <v>0</v>
      </c>
    </row>
    <row r="612" spans="1:21" x14ac:dyDescent="0.25">
      <c r="A612" t="s">
        <v>920</v>
      </c>
      <c r="B612" t="s">
        <v>61</v>
      </c>
      <c r="C612" s="1">
        <v>46271</v>
      </c>
      <c r="D612" t="s">
        <v>41</v>
      </c>
      <c r="E612" t="s">
        <v>42</v>
      </c>
      <c r="F612" t="s">
        <v>100</v>
      </c>
      <c r="G612" t="s">
        <v>84</v>
      </c>
      <c r="H612" t="s">
        <v>25</v>
      </c>
      <c r="I612" t="s">
        <v>26</v>
      </c>
      <c r="J612" t="s">
        <v>27</v>
      </c>
      <c r="K612" s="1">
        <v>46281</v>
      </c>
      <c r="L612" t="s">
        <v>28</v>
      </c>
      <c r="M612" t="s">
        <v>37</v>
      </c>
      <c r="O612" t="s">
        <v>38</v>
      </c>
      <c r="Q612">
        <v>10</v>
      </c>
      <c r="T612" t="str">
        <f>IF(RecruitmentTable[[#This Row],[Final Status]]="In process","Screening",IF(RecruitmentTable[[#This Row],[Final Status]]="Selected","Offer","Rejected"))</f>
        <v>Rejected</v>
      </c>
      <c r="U612">
        <f>IF(RecruitmentTable[[#This Row],[Final Status]]="Selected",1,0)</f>
        <v>0</v>
      </c>
    </row>
    <row r="613" spans="1:21" x14ac:dyDescent="0.25">
      <c r="A613" t="s">
        <v>921</v>
      </c>
      <c r="B613" t="s">
        <v>876</v>
      </c>
      <c r="C613" s="1">
        <v>46032</v>
      </c>
      <c r="D613" t="s">
        <v>21</v>
      </c>
      <c r="E613" t="s">
        <v>22</v>
      </c>
      <c r="F613" t="s">
        <v>57</v>
      </c>
      <c r="G613" t="s">
        <v>66</v>
      </c>
      <c r="H613" t="s">
        <v>72</v>
      </c>
      <c r="I613" t="s">
        <v>37</v>
      </c>
      <c r="J613" t="s">
        <v>38</v>
      </c>
      <c r="K613" s="1"/>
      <c r="L613" t="s">
        <v>38</v>
      </c>
      <c r="M613" t="s">
        <v>37</v>
      </c>
      <c r="O613" t="s">
        <v>38</v>
      </c>
      <c r="T613" t="str">
        <f>IF(RecruitmentTable[[#This Row],[Final Status]]="In process","Screening",IF(RecruitmentTable[[#This Row],[Final Status]]="Selected","Offer","Rejected"))</f>
        <v>Rejected</v>
      </c>
      <c r="U613">
        <f>IF(RecruitmentTable[[#This Row],[Final Status]]="Selected",1,0)</f>
        <v>0</v>
      </c>
    </row>
    <row r="614" spans="1:21" x14ac:dyDescent="0.25">
      <c r="A614" t="s">
        <v>922</v>
      </c>
      <c r="B614" t="s">
        <v>575</v>
      </c>
      <c r="C614" s="1">
        <v>46107</v>
      </c>
      <c r="D614" t="s">
        <v>21</v>
      </c>
      <c r="E614" t="s">
        <v>22</v>
      </c>
      <c r="F614" t="s">
        <v>57</v>
      </c>
      <c r="G614" t="s">
        <v>24</v>
      </c>
      <c r="H614" t="s">
        <v>51</v>
      </c>
      <c r="I614" t="s">
        <v>26</v>
      </c>
      <c r="J614" t="s">
        <v>27</v>
      </c>
      <c r="K614" s="1">
        <v>46116</v>
      </c>
      <c r="L614" t="s">
        <v>28</v>
      </c>
      <c r="M614" t="s">
        <v>37</v>
      </c>
      <c r="O614" t="s">
        <v>38</v>
      </c>
      <c r="Q614">
        <v>9</v>
      </c>
      <c r="T614" t="str">
        <f>IF(RecruitmentTable[[#This Row],[Final Status]]="In process","Screening",IF(RecruitmentTable[[#This Row],[Final Status]]="Selected","Offer","Rejected"))</f>
        <v>Rejected</v>
      </c>
      <c r="U614">
        <f>IF(RecruitmentTable[[#This Row],[Final Status]]="Selected",1,0)</f>
        <v>0</v>
      </c>
    </row>
    <row r="615" spans="1:21" x14ac:dyDescent="0.25">
      <c r="A615" t="s">
        <v>923</v>
      </c>
      <c r="B615" t="s">
        <v>783</v>
      </c>
      <c r="C615" s="1">
        <v>46169</v>
      </c>
      <c r="D615" t="s">
        <v>21</v>
      </c>
      <c r="E615" t="s">
        <v>22</v>
      </c>
      <c r="F615" t="s">
        <v>23</v>
      </c>
      <c r="G615" t="s">
        <v>24</v>
      </c>
      <c r="H615" t="s">
        <v>72</v>
      </c>
      <c r="I615" t="s">
        <v>37</v>
      </c>
      <c r="J615" t="s">
        <v>38</v>
      </c>
      <c r="K615" s="1"/>
      <c r="L615" t="s">
        <v>38</v>
      </c>
      <c r="M615" t="s">
        <v>37</v>
      </c>
      <c r="O615" t="s">
        <v>38</v>
      </c>
      <c r="T615" t="str">
        <f>IF(RecruitmentTable[[#This Row],[Final Status]]="In process","Screening",IF(RecruitmentTable[[#This Row],[Final Status]]="Selected","Offer","Rejected"))</f>
        <v>Rejected</v>
      </c>
      <c r="U615">
        <f>IF(RecruitmentTable[[#This Row],[Final Status]]="Selected",1,0)</f>
        <v>0</v>
      </c>
    </row>
    <row r="616" spans="1:21" x14ac:dyDescent="0.25">
      <c r="A616" t="s">
        <v>924</v>
      </c>
      <c r="B616" t="s">
        <v>125</v>
      </c>
      <c r="C616" s="1">
        <v>46130</v>
      </c>
      <c r="D616" t="s">
        <v>83</v>
      </c>
      <c r="E616" t="s">
        <v>34</v>
      </c>
      <c r="F616" t="s">
        <v>100</v>
      </c>
      <c r="G616" t="s">
        <v>47</v>
      </c>
      <c r="H616" t="s">
        <v>51</v>
      </c>
      <c r="I616" t="s">
        <v>26</v>
      </c>
      <c r="J616" t="s">
        <v>38</v>
      </c>
      <c r="K616" s="1"/>
      <c r="L616" t="s">
        <v>58</v>
      </c>
      <c r="M616" t="s">
        <v>59</v>
      </c>
      <c r="O616" t="s">
        <v>38</v>
      </c>
      <c r="T616" t="str">
        <f>IF(RecruitmentTable[[#This Row],[Final Status]]="In process","Screening",IF(RecruitmentTable[[#This Row],[Final Status]]="Selected","Offer","Rejected"))</f>
        <v>Screening</v>
      </c>
      <c r="U616">
        <f>IF(RecruitmentTable[[#This Row],[Final Status]]="Selected",1,0)</f>
        <v>0</v>
      </c>
    </row>
    <row r="617" spans="1:21" x14ac:dyDescent="0.25">
      <c r="A617" t="s">
        <v>925</v>
      </c>
      <c r="B617" t="s">
        <v>785</v>
      </c>
      <c r="C617" s="1">
        <v>46260</v>
      </c>
      <c r="D617" t="s">
        <v>83</v>
      </c>
      <c r="E617" t="s">
        <v>34</v>
      </c>
      <c r="F617" t="s">
        <v>57</v>
      </c>
      <c r="G617" t="s">
        <v>84</v>
      </c>
      <c r="H617" t="s">
        <v>44</v>
      </c>
      <c r="I617" t="s">
        <v>26</v>
      </c>
      <c r="J617" t="s">
        <v>27</v>
      </c>
      <c r="K617" s="1">
        <v>46272</v>
      </c>
      <c r="L617" t="s">
        <v>28</v>
      </c>
      <c r="M617" t="s">
        <v>37</v>
      </c>
      <c r="O617" t="s">
        <v>38</v>
      </c>
      <c r="Q617">
        <v>12</v>
      </c>
      <c r="T617" t="str">
        <f>IF(RecruitmentTable[[#This Row],[Final Status]]="In process","Screening",IF(RecruitmentTable[[#This Row],[Final Status]]="Selected","Offer","Rejected"))</f>
        <v>Rejected</v>
      </c>
      <c r="U617">
        <f>IF(RecruitmentTable[[#This Row],[Final Status]]="Selected",1,0)</f>
        <v>0</v>
      </c>
    </row>
    <row r="618" spans="1:21" x14ac:dyDescent="0.25">
      <c r="A618" t="s">
        <v>926</v>
      </c>
      <c r="B618" t="s">
        <v>195</v>
      </c>
      <c r="C618" s="1">
        <v>46215</v>
      </c>
      <c r="D618" t="s">
        <v>65</v>
      </c>
      <c r="E618" t="s">
        <v>42</v>
      </c>
      <c r="F618" t="s">
        <v>43</v>
      </c>
      <c r="G618" t="s">
        <v>47</v>
      </c>
      <c r="H618" t="s">
        <v>62</v>
      </c>
      <c r="I618" t="s">
        <v>37</v>
      </c>
      <c r="J618" t="s">
        <v>38</v>
      </c>
      <c r="K618" s="1"/>
      <c r="L618" t="s">
        <v>38</v>
      </c>
      <c r="M618" t="s">
        <v>37</v>
      </c>
      <c r="O618" t="s">
        <v>38</v>
      </c>
      <c r="T618" t="str">
        <f>IF(RecruitmentTable[[#This Row],[Final Status]]="In process","Screening",IF(RecruitmentTable[[#This Row],[Final Status]]="Selected","Offer","Rejected"))</f>
        <v>Rejected</v>
      </c>
      <c r="U618">
        <f>IF(RecruitmentTable[[#This Row],[Final Status]]="Selected",1,0)</f>
        <v>0</v>
      </c>
    </row>
    <row r="619" spans="1:21" x14ac:dyDescent="0.25">
      <c r="A619" t="s">
        <v>927</v>
      </c>
      <c r="B619" t="s">
        <v>341</v>
      </c>
      <c r="C619" s="1">
        <v>46077</v>
      </c>
      <c r="D619" t="s">
        <v>41</v>
      </c>
      <c r="E619" t="s">
        <v>42</v>
      </c>
      <c r="F619" t="s">
        <v>100</v>
      </c>
      <c r="G619" t="s">
        <v>24</v>
      </c>
      <c r="H619" t="s">
        <v>62</v>
      </c>
      <c r="I619" t="s">
        <v>26</v>
      </c>
      <c r="J619" t="s">
        <v>27</v>
      </c>
      <c r="K619" s="1">
        <v>46093</v>
      </c>
      <c r="L619" t="s">
        <v>28</v>
      </c>
      <c r="M619" t="s">
        <v>37</v>
      </c>
      <c r="O619" t="s">
        <v>38</v>
      </c>
      <c r="Q619">
        <v>16</v>
      </c>
      <c r="T619" t="str">
        <f>IF(RecruitmentTable[[#This Row],[Final Status]]="In process","Screening",IF(RecruitmentTable[[#This Row],[Final Status]]="Selected","Offer","Rejected"))</f>
        <v>Rejected</v>
      </c>
      <c r="U619">
        <f>IF(RecruitmentTable[[#This Row],[Final Status]]="Selected",1,0)</f>
        <v>0</v>
      </c>
    </row>
    <row r="620" spans="1:21" x14ac:dyDescent="0.25">
      <c r="A620" t="s">
        <v>928</v>
      </c>
      <c r="B620" t="s">
        <v>445</v>
      </c>
      <c r="C620" s="1">
        <v>46233</v>
      </c>
      <c r="D620" t="s">
        <v>65</v>
      </c>
      <c r="E620" t="s">
        <v>42</v>
      </c>
      <c r="F620" t="s">
        <v>35</v>
      </c>
      <c r="G620" t="s">
        <v>36</v>
      </c>
      <c r="H620" t="s">
        <v>62</v>
      </c>
      <c r="I620" t="s">
        <v>26</v>
      </c>
      <c r="J620" t="s">
        <v>27</v>
      </c>
      <c r="K620" s="1">
        <v>46250</v>
      </c>
      <c r="L620" t="s">
        <v>28</v>
      </c>
      <c r="M620" t="s">
        <v>37</v>
      </c>
      <c r="O620" t="s">
        <v>38</v>
      </c>
      <c r="Q620">
        <v>17</v>
      </c>
      <c r="T620" t="str">
        <f>IF(RecruitmentTable[[#This Row],[Final Status]]="In process","Screening",IF(RecruitmentTable[[#This Row],[Final Status]]="Selected","Offer","Rejected"))</f>
        <v>Rejected</v>
      </c>
      <c r="U620">
        <f>IF(RecruitmentTable[[#This Row],[Final Status]]="Selected",1,0)</f>
        <v>0</v>
      </c>
    </row>
    <row r="621" spans="1:21" x14ac:dyDescent="0.25">
      <c r="A621" t="s">
        <v>929</v>
      </c>
      <c r="B621" t="s">
        <v>131</v>
      </c>
      <c r="C621" s="1">
        <v>46039</v>
      </c>
      <c r="D621" t="s">
        <v>41</v>
      </c>
      <c r="E621" t="s">
        <v>42</v>
      </c>
      <c r="F621" t="s">
        <v>100</v>
      </c>
      <c r="G621" t="s">
        <v>47</v>
      </c>
      <c r="H621" t="s">
        <v>72</v>
      </c>
      <c r="I621" t="s">
        <v>37</v>
      </c>
      <c r="J621" t="s">
        <v>38</v>
      </c>
      <c r="K621" s="1"/>
      <c r="L621" t="s">
        <v>38</v>
      </c>
      <c r="M621" t="s">
        <v>37</v>
      </c>
      <c r="O621" t="s">
        <v>38</v>
      </c>
      <c r="T621" t="str">
        <f>IF(RecruitmentTable[[#This Row],[Final Status]]="In process","Screening",IF(RecruitmentTable[[#This Row],[Final Status]]="Selected","Offer","Rejected"))</f>
        <v>Rejected</v>
      </c>
      <c r="U621">
        <f>IF(RecruitmentTable[[#This Row],[Final Status]]="Selected",1,0)</f>
        <v>0</v>
      </c>
    </row>
    <row r="622" spans="1:21" x14ac:dyDescent="0.25">
      <c r="A622" t="s">
        <v>930</v>
      </c>
      <c r="B622" t="s">
        <v>49</v>
      </c>
      <c r="C622" s="1">
        <v>46219</v>
      </c>
      <c r="D622" t="s">
        <v>41</v>
      </c>
      <c r="E622" t="s">
        <v>42</v>
      </c>
      <c r="F622" t="s">
        <v>57</v>
      </c>
      <c r="G622" t="s">
        <v>47</v>
      </c>
      <c r="H622" t="s">
        <v>44</v>
      </c>
      <c r="I622" t="s">
        <v>26</v>
      </c>
      <c r="J622" t="s">
        <v>38</v>
      </c>
      <c r="K622" s="1"/>
      <c r="L622" t="s">
        <v>58</v>
      </c>
      <c r="M622" t="s">
        <v>59</v>
      </c>
      <c r="O622" t="s">
        <v>38</v>
      </c>
      <c r="T622" t="str">
        <f>IF(RecruitmentTable[[#This Row],[Final Status]]="In process","Screening",IF(RecruitmentTable[[#This Row],[Final Status]]="Selected","Offer","Rejected"))</f>
        <v>Screening</v>
      </c>
      <c r="U622">
        <f>IF(RecruitmentTable[[#This Row],[Final Status]]="Selected",1,0)</f>
        <v>0</v>
      </c>
    </row>
    <row r="623" spans="1:21" x14ac:dyDescent="0.25">
      <c r="A623" t="s">
        <v>931</v>
      </c>
      <c r="B623" t="s">
        <v>932</v>
      </c>
      <c r="C623" s="1">
        <v>46079</v>
      </c>
      <c r="D623" t="s">
        <v>65</v>
      </c>
      <c r="E623" t="s">
        <v>42</v>
      </c>
      <c r="F623" t="s">
        <v>23</v>
      </c>
      <c r="G623" t="s">
        <v>24</v>
      </c>
      <c r="H623" t="s">
        <v>62</v>
      </c>
      <c r="I623" t="s">
        <v>26</v>
      </c>
      <c r="J623" t="s">
        <v>27</v>
      </c>
      <c r="K623" s="1">
        <v>46094</v>
      </c>
      <c r="L623" t="s">
        <v>28</v>
      </c>
      <c r="M623" t="s">
        <v>37</v>
      </c>
      <c r="O623" t="s">
        <v>38</v>
      </c>
      <c r="Q623">
        <v>15</v>
      </c>
      <c r="T623" t="str">
        <f>IF(RecruitmentTable[[#This Row],[Final Status]]="In process","Screening",IF(RecruitmentTable[[#This Row],[Final Status]]="Selected","Offer","Rejected"))</f>
        <v>Rejected</v>
      </c>
      <c r="U623">
        <f>IF(RecruitmentTable[[#This Row],[Final Status]]="Selected",1,0)</f>
        <v>0</v>
      </c>
    </row>
    <row r="624" spans="1:21" x14ac:dyDescent="0.25">
      <c r="A624" t="s">
        <v>933</v>
      </c>
      <c r="B624" t="s">
        <v>163</v>
      </c>
      <c r="C624" s="1">
        <v>46210</v>
      </c>
      <c r="D624" t="s">
        <v>21</v>
      </c>
      <c r="E624" t="s">
        <v>22</v>
      </c>
      <c r="F624" t="s">
        <v>43</v>
      </c>
      <c r="G624" t="s">
        <v>36</v>
      </c>
      <c r="H624" t="s">
        <v>44</v>
      </c>
      <c r="I624" t="s">
        <v>37</v>
      </c>
      <c r="J624" t="s">
        <v>38</v>
      </c>
      <c r="K624" s="1"/>
      <c r="L624" t="s">
        <v>38</v>
      </c>
      <c r="M624" t="s">
        <v>37</v>
      </c>
      <c r="O624" t="s">
        <v>38</v>
      </c>
      <c r="T624" t="str">
        <f>IF(RecruitmentTable[[#This Row],[Final Status]]="In process","Screening",IF(RecruitmentTable[[#This Row],[Final Status]]="Selected","Offer","Rejected"))</f>
        <v>Rejected</v>
      </c>
      <c r="U624">
        <f>IF(RecruitmentTable[[#This Row],[Final Status]]="Selected",1,0)</f>
        <v>0</v>
      </c>
    </row>
    <row r="625" spans="1:21" x14ac:dyDescent="0.25">
      <c r="A625" t="s">
        <v>934</v>
      </c>
      <c r="B625" t="s">
        <v>670</v>
      </c>
      <c r="C625" s="1">
        <v>46151</v>
      </c>
      <c r="D625" t="s">
        <v>56</v>
      </c>
      <c r="E625" t="s">
        <v>34</v>
      </c>
      <c r="F625" t="s">
        <v>57</v>
      </c>
      <c r="G625" t="s">
        <v>24</v>
      </c>
      <c r="H625" t="s">
        <v>44</v>
      </c>
      <c r="I625" t="s">
        <v>26</v>
      </c>
      <c r="J625" t="s">
        <v>38</v>
      </c>
      <c r="K625" s="1"/>
      <c r="L625" t="s">
        <v>58</v>
      </c>
      <c r="M625" t="s">
        <v>59</v>
      </c>
      <c r="O625" t="s">
        <v>38</v>
      </c>
      <c r="T625" t="str">
        <f>IF(RecruitmentTable[[#This Row],[Final Status]]="In process","Screening",IF(RecruitmentTable[[#This Row],[Final Status]]="Selected","Offer","Rejected"))</f>
        <v>Screening</v>
      </c>
      <c r="U625">
        <f>IF(RecruitmentTable[[#This Row],[Final Status]]="Selected",1,0)</f>
        <v>0</v>
      </c>
    </row>
    <row r="626" spans="1:21" x14ac:dyDescent="0.25">
      <c r="A626" t="s">
        <v>935</v>
      </c>
      <c r="B626" t="s">
        <v>136</v>
      </c>
      <c r="C626" s="1">
        <v>46189</v>
      </c>
      <c r="D626" t="s">
        <v>33</v>
      </c>
      <c r="E626" t="s">
        <v>34</v>
      </c>
      <c r="F626" t="s">
        <v>35</v>
      </c>
      <c r="G626" t="s">
        <v>24</v>
      </c>
      <c r="H626" t="s">
        <v>51</v>
      </c>
      <c r="I626" t="s">
        <v>26</v>
      </c>
      <c r="J626" t="s">
        <v>27</v>
      </c>
      <c r="K626" s="1">
        <v>46201</v>
      </c>
      <c r="L626" t="s">
        <v>28</v>
      </c>
      <c r="M626" t="s">
        <v>37</v>
      </c>
      <c r="O626" t="s">
        <v>38</v>
      </c>
      <c r="Q626">
        <v>12</v>
      </c>
      <c r="T626" t="str">
        <f>IF(RecruitmentTable[[#This Row],[Final Status]]="In process","Screening",IF(RecruitmentTable[[#This Row],[Final Status]]="Selected","Offer","Rejected"))</f>
        <v>Rejected</v>
      </c>
      <c r="U626">
        <f>IF(RecruitmentTable[[#This Row],[Final Status]]="Selected",1,0)</f>
        <v>0</v>
      </c>
    </row>
    <row r="627" spans="1:21" x14ac:dyDescent="0.25">
      <c r="A627" t="s">
        <v>936</v>
      </c>
      <c r="B627" t="s">
        <v>286</v>
      </c>
      <c r="C627" s="1">
        <v>46222</v>
      </c>
      <c r="D627" t="s">
        <v>33</v>
      </c>
      <c r="E627" t="s">
        <v>34</v>
      </c>
      <c r="F627" t="s">
        <v>57</v>
      </c>
      <c r="G627" t="s">
        <v>66</v>
      </c>
      <c r="H627" t="s">
        <v>44</v>
      </c>
      <c r="I627" t="s">
        <v>37</v>
      </c>
      <c r="J627" t="s">
        <v>38</v>
      </c>
      <c r="K627" s="1"/>
      <c r="L627" t="s">
        <v>38</v>
      </c>
      <c r="M627" t="s">
        <v>37</v>
      </c>
      <c r="O627" t="s">
        <v>38</v>
      </c>
      <c r="T627" t="str">
        <f>IF(RecruitmentTable[[#This Row],[Final Status]]="In process","Screening",IF(RecruitmentTable[[#This Row],[Final Status]]="Selected","Offer","Rejected"))</f>
        <v>Rejected</v>
      </c>
      <c r="U627">
        <f>IF(RecruitmentTable[[#This Row],[Final Status]]="Selected",1,0)</f>
        <v>0</v>
      </c>
    </row>
    <row r="628" spans="1:21" x14ac:dyDescent="0.25">
      <c r="A628" t="s">
        <v>937</v>
      </c>
      <c r="B628" t="s">
        <v>213</v>
      </c>
      <c r="C628" s="1">
        <v>46226</v>
      </c>
      <c r="D628" t="s">
        <v>41</v>
      </c>
      <c r="E628" t="s">
        <v>42</v>
      </c>
      <c r="F628" t="s">
        <v>57</v>
      </c>
      <c r="G628" t="s">
        <v>24</v>
      </c>
      <c r="H628" t="s">
        <v>44</v>
      </c>
      <c r="I628" t="s">
        <v>26</v>
      </c>
      <c r="J628" t="s">
        <v>27</v>
      </c>
      <c r="K628" s="1">
        <v>46238</v>
      </c>
      <c r="L628" t="s">
        <v>28</v>
      </c>
      <c r="M628" t="s">
        <v>37</v>
      </c>
      <c r="O628" t="s">
        <v>38</v>
      </c>
      <c r="Q628">
        <v>12</v>
      </c>
      <c r="T628" t="str">
        <f>IF(RecruitmentTable[[#This Row],[Final Status]]="In process","Screening",IF(RecruitmentTable[[#This Row],[Final Status]]="Selected","Offer","Rejected"))</f>
        <v>Rejected</v>
      </c>
      <c r="U628">
        <f>IF(RecruitmentTable[[#This Row],[Final Status]]="Selected",1,0)</f>
        <v>0</v>
      </c>
    </row>
    <row r="629" spans="1:21" x14ac:dyDescent="0.25">
      <c r="A629" t="s">
        <v>938</v>
      </c>
      <c r="B629" t="s">
        <v>246</v>
      </c>
      <c r="C629" s="1">
        <v>46207</v>
      </c>
      <c r="D629" t="s">
        <v>41</v>
      </c>
      <c r="E629" t="s">
        <v>42</v>
      </c>
      <c r="F629" t="s">
        <v>50</v>
      </c>
      <c r="G629" t="s">
        <v>66</v>
      </c>
      <c r="H629" t="s">
        <v>51</v>
      </c>
      <c r="I629" t="s">
        <v>26</v>
      </c>
      <c r="J629" t="s">
        <v>38</v>
      </c>
      <c r="K629" s="1"/>
      <c r="L629" t="s">
        <v>58</v>
      </c>
      <c r="M629" t="s">
        <v>59</v>
      </c>
      <c r="O629" t="s">
        <v>38</v>
      </c>
      <c r="T629" t="str">
        <f>IF(RecruitmentTable[[#This Row],[Final Status]]="In process","Screening",IF(RecruitmentTable[[#This Row],[Final Status]]="Selected","Offer","Rejected"))</f>
        <v>Screening</v>
      </c>
      <c r="U629">
        <f>IF(RecruitmentTable[[#This Row],[Final Status]]="Selected",1,0)</f>
        <v>0</v>
      </c>
    </row>
    <row r="630" spans="1:21" x14ac:dyDescent="0.25">
      <c r="A630" t="s">
        <v>939</v>
      </c>
      <c r="B630" t="s">
        <v>940</v>
      </c>
      <c r="C630" s="1">
        <v>46096</v>
      </c>
      <c r="D630" t="s">
        <v>83</v>
      </c>
      <c r="E630" t="s">
        <v>34</v>
      </c>
      <c r="F630" t="s">
        <v>23</v>
      </c>
      <c r="G630" t="s">
        <v>36</v>
      </c>
      <c r="H630" t="s">
        <v>72</v>
      </c>
      <c r="I630" t="s">
        <v>37</v>
      </c>
      <c r="J630" t="s">
        <v>38</v>
      </c>
      <c r="K630" s="1"/>
      <c r="L630" t="s">
        <v>38</v>
      </c>
      <c r="M630" t="s">
        <v>37</v>
      </c>
      <c r="O630" t="s">
        <v>38</v>
      </c>
      <c r="T630" t="str">
        <f>IF(RecruitmentTable[[#This Row],[Final Status]]="In process","Screening",IF(RecruitmentTable[[#This Row],[Final Status]]="Selected","Offer","Rejected"))</f>
        <v>Rejected</v>
      </c>
      <c r="U630">
        <f>IF(RecruitmentTable[[#This Row],[Final Status]]="Selected",1,0)</f>
        <v>0</v>
      </c>
    </row>
    <row r="631" spans="1:21" x14ac:dyDescent="0.25">
      <c r="A631" t="s">
        <v>941</v>
      </c>
      <c r="B631" t="s">
        <v>474</v>
      </c>
      <c r="C631" s="1">
        <v>46184</v>
      </c>
      <c r="D631" t="s">
        <v>41</v>
      </c>
      <c r="E631" t="s">
        <v>42</v>
      </c>
      <c r="F631" t="s">
        <v>50</v>
      </c>
      <c r="G631" t="s">
        <v>36</v>
      </c>
      <c r="H631" t="s">
        <v>51</v>
      </c>
      <c r="I631" t="s">
        <v>37</v>
      </c>
      <c r="J631" t="s">
        <v>38</v>
      </c>
      <c r="K631" s="1"/>
      <c r="L631" t="s">
        <v>38</v>
      </c>
      <c r="M631" t="s">
        <v>37</v>
      </c>
      <c r="O631" t="s">
        <v>38</v>
      </c>
      <c r="T631" t="str">
        <f>IF(RecruitmentTable[[#This Row],[Final Status]]="In process","Screening",IF(RecruitmentTable[[#This Row],[Final Status]]="Selected","Offer","Rejected"))</f>
        <v>Rejected</v>
      </c>
      <c r="U631">
        <f>IF(RecruitmentTable[[#This Row],[Final Status]]="Selected",1,0)</f>
        <v>0</v>
      </c>
    </row>
    <row r="632" spans="1:21" x14ac:dyDescent="0.25">
      <c r="A632" t="s">
        <v>942</v>
      </c>
      <c r="B632" t="s">
        <v>74</v>
      </c>
      <c r="C632" s="1">
        <v>46200</v>
      </c>
      <c r="D632" t="s">
        <v>83</v>
      </c>
      <c r="E632" t="s">
        <v>34</v>
      </c>
      <c r="F632" t="s">
        <v>100</v>
      </c>
      <c r="G632" t="s">
        <v>84</v>
      </c>
      <c r="H632" t="s">
        <v>51</v>
      </c>
      <c r="I632" t="s">
        <v>26</v>
      </c>
      <c r="J632" t="s">
        <v>27</v>
      </c>
      <c r="K632" s="1">
        <v>46204</v>
      </c>
      <c r="L632" t="s">
        <v>28</v>
      </c>
      <c r="M632" t="s">
        <v>37</v>
      </c>
      <c r="O632" t="s">
        <v>38</v>
      </c>
      <c r="Q632">
        <v>4</v>
      </c>
      <c r="T632" t="str">
        <f>IF(RecruitmentTable[[#This Row],[Final Status]]="In process","Screening",IF(RecruitmentTable[[#This Row],[Final Status]]="Selected","Offer","Rejected"))</f>
        <v>Rejected</v>
      </c>
      <c r="U632">
        <f>IF(RecruitmentTable[[#This Row],[Final Status]]="Selected",1,0)</f>
        <v>0</v>
      </c>
    </row>
    <row r="633" spans="1:21" x14ac:dyDescent="0.25">
      <c r="A633" t="s">
        <v>943</v>
      </c>
      <c r="B633" t="s">
        <v>330</v>
      </c>
      <c r="C633" s="1">
        <v>46026</v>
      </c>
      <c r="D633" t="s">
        <v>41</v>
      </c>
      <c r="E633" t="s">
        <v>42</v>
      </c>
      <c r="F633" t="s">
        <v>57</v>
      </c>
      <c r="G633" t="s">
        <v>71</v>
      </c>
      <c r="H633" t="s">
        <v>62</v>
      </c>
      <c r="I633" t="s">
        <v>26</v>
      </c>
      <c r="J633" t="s">
        <v>38</v>
      </c>
      <c r="K633" s="1"/>
      <c r="L633" t="s">
        <v>58</v>
      </c>
      <c r="M633" t="s">
        <v>59</v>
      </c>
      <c r="O633" t="s">
        <v>38</v>
      </c>
      <c r="T633" t="str">
        <f>IF(RecruitmentTable[[#This Row],[Final Status]]="In process","Screening",IF(RecruitmentTable[[#This Row],[Final Status]]="Selected","Offer","Rejected"))</f>
        <v>Screening</v>
      </c>
      <c r="U633">
        <f>IF(RecruitmentTable[[#This Row],[Final Status]]="Selected",1,0)</f>
        <v>0</v>
      </c>
    </row>
    <row r="634" spans="1:21" x14ac:dyDescent="0.25">
      <c r="A634" t="s">
        <v>944</v>
      </c>
      <c r="B634" t="s">
        <v>191</v>
      </c>
      <c r="C634" s="1">
        <v>46046</v>
      </c>
      <c r="D634" t="s">
        <v>33</v>
      </c>
      <c r="E634" t="s">
        <v>34</v>
      </c>
      <c r="F634" t="s">
        <v>43</v>
      </c>
      <c r="G634" t="s">
        <v>47</v>
      </c>
      <c r="H634" t="s">
        <v>44</v>
      </c>
      <c r="I634" t="s">
        <v>26</v>
      </c>
      <c r="J634" t="s">
        <v>27</v>
      </c>
      <c r="K634" s="1">
        <v>46057</v>
      </c>
      <c r="L634" t="s">
        <v>28</v>
      </c>
      <c r="M634" t="s">
        <v>37</v>
      </c>
      <c r="O634" t="s">
        <v>38</v>
      </c>
      <c r="Q634">
        <v>11</v>
      </c>
      <c r="T634" t="str">
        <f>IF(RecruitmentTable[[#This Row],[Final Status]]="In process","Screening",IF(RecruitmentTable[[#This Row],[Final Status]]="Selected","Offer","Rejected"))</f>
        <v>Rejected</v>
      </c>
      <c r="U634">
        <f>IF(RecruitmentTable[[#This Row],[Final Status]]="Selected",1,0)</f>
        <v>0</v>
      </c>
    </row>
    <row r="635" spans="1:21" x14ac:dyDescent="0.25">
      <c r="A635" t="s">
        <v>945</v>
      </c>
      <c r="B635" t="s">
        <v>817</v>
      </c>
      <c r="C635" s="1">
        <v>46163</v>
      </c>
      <c r="D635" t="s">
        <v>56</v>
      </c>
      <c r="E635" t="s">
        <v>34</v>
      </c>
      <c r="F635" t="s">
        <v>43</v>
      </c>
      <c r="G635" t="s">
        <v>71</v>
      </c>
      <c r="H635" t="s">
        <v>62</v>
      </c>
      <c r="I635" t="s">
        <v>37</v>
      </c>
      <c r="J635" t="s">
        <v>38</v>
      </c>
      <c r="K635" s="1"/>
      <c r="L635" t="s">
        <v>38</v>
      </c>
      <c r="M635" t="s">
        <v>37</v>
      </c>
      <c r="O635" t="s">
        <v>38</v>
      </c>
      <c r="T635" t="str">
        <f>IF(RecruitmentTable[[#This Row],[Final Status]]="In process","Screening",IF(RecruitmentTable[[#This Row],[Final Status]]="Selected","Offer","Rejected"))</f>
        <v>Rejected</v>
      </c>
      <c r="U635">
        <f>IF(RecruitmentTable[[#This Row],[Final Status]]="Selected",1,0)</f>
        <v>0</v>
      </c>
    </row>
    <row r="636" spans="1:21" x14ac:dyDescent="0.25">
      <c r="A636" t="s">
        <v>946</v>
      </c>
      <c r="B636" t="s">
        <v>249</v>
      </c>
      <c r="C636" s="1">
        <v>46099</v>
      </c>
      <c r="D636" t="s">
        <v>83</v>
      </c>
      <c r="E636" t="s">
        <v>34</v>
      </c>
      <c r="F636" t="s">
        <v>50</v>
      </c>
      <c r="G636" t="s">
        <v>84</v>
      </c>
      <c r="H636" t="s">
        <v>51</v>
      </c>
      <c r="I636" t="s">
        <v>26</v>
      </c>
      <c r="J636" t="s">
        <v>27</v>
      </c>
      <c r="K636" s="1">
        <v>46114</v>
      </c>
      <c r="L636" t="s">
        <v>28</v>
      </c>
      <c r="M636" t="s">
        <v>37</v>
      </c>
      <c r="O636" t="s">
        <v>38</v>
      </c>
      <c r="Q636">
        <v>15</v>
      </c>
      <c r="T636" t="str">
        <f>IF(RecruitmentTable[[#This Row],[Final Status]]="In process","Screening",IF(RecruitmentTable[[#This Row],[Final Status]]="Selected","Offer","Rejected"))</f>
        <v>Rejected</v>
      </c>
      <c r="U636">
        <f>IF(RecruitmentTable[[#This Row],[Final Status]]="Selected",1,0)</f>
        <v>0</v>
      </c>
    </row>
    <row r="637" spans="1:21" x14ac:dyDescent="0.25">
      <c r="A637" t="s">
        <v>947</v>
      </c>
      <c r="B637" t="s">
        <v>204</v>
      </c>
      <c r="C637" s="1">
        <v>46091</v>
      </c>
      <c r="D637" t="s">
        <v>65</v>
      </c>
      <c r="E637" t="s">
        <v>42</v>
      </c>
      <c r="F637" t="s">
        <v>57</v>
      </c>
      <c r="G637" t="s">
        <v>66</v>
      </c>
      <c r="H637" t="s">
        <v>25</v>
      </c>
      <c r="I637" t="s">
        <v>37</v>
      </c>
      <c r="J637" t="s">
        <v>38</v>
      </c>
      <c r="K637" s="1"/>
      <c r="L637" t="s">
        <v>38</v>
      </c>
      <c r="M637" t="s">
        <v>37</v>
      </c>
      <c r="O637" t="s">
        <v>38</v>
      </c>
      <c r="T637" t="str">
        <f>IF(RecruitmentTable[[#This Row],[Final Status]]="In process","Screening",IF(RecruitmentTable[[#This Row],[Final Status]]="Selected","Offer","Rejected"))</f>
        <v>Rejected</v>
      </c>
      <c r="U637">
        <f>IF(RecruitmentTable[[#This Row],[Final Status]]="Selected",1,0)</f>
        <v>0</v>
      </c>
    </row>
    <row r="638" spans="1:21" x14ac:dyDescent="0.25">
      <c r="A638" t="s">
        <v>948</v>
      </c>
      <c r="B638" t="s">
        <v>149</v>
      </c>
      <c r="C638" s="1">
        <v>46079</v>
      </c>
      <c r="D638" t="s">
        <v>21</v>
      </c>
      <c r="E638" t="s">
        <v>22</v>
      </c>
      <c r="F638" t="s">
        <v>57</v>
      </c>
      <c r="G638" t="s">
        <v>36</v>
      </c>
      <c r="H638" t="s">
        <v>62</v>
      </c>
      <c r="I638" t="s">
        <v>26</v>
      </c>
      <c r="J638" t="s">
        <v>27</v>
      </c>
      <c r="K638" s="1">
        <v>46087</v>
      </c>
      <c r="L638" t="s">
        <v>28</v>
      </c>
      <c r="M638" t="s">
        <v>37</v>
      </c>
      <c r="O638" t="s">
        <v>38</v>
      </c>
      <c r="Q638">
        <v>8</v>
      </c>
      <c r="T638" t="str">
        <f>IF(RecruitmentTable[[#This Row],[Final Status]]="In process","Screening",IF(RecruitmentTable[[#This Row],[Final Status]]="Selected","Offer","Rejected"))</f>
        <v>Rejected</v>
      </c>
      <c r="U638">
        <f>IF(RecruitmentTable[[#This Row],[Final Status]]="Selected",1,0)</f>
        <v>0</v>
      </c>
    </row>
    <row r="639" spans="1:21" x14ac:dyDescent="0.25">
      <c r="A639" t="s">
        <v>949</v>
      </c>
      <c r="B639" t="s">
        <v>543</v>
      </c>
      <c r="C639" s="1">
        <v>46138</v>
      </c>
      <c r="D639" t="s">
        <v>83</v>
      </c>
      <c r="E639" t="s">
        <v>34</v>
      </c>
      <c r="F639" t="s">
        <v>57</v>
      </c>
      <c r="G639" t="s">
        <v>24</v>
      </c>
      <c r="H639" t="s">
        <v>25</v>
      </c>
      <c r="I639" t="s">
        <v>26</v>
      </c>
      <c r="J639" t="s">
        <v>27</v>
      </c>
      <c r="K639" s="1">
        <v>46150</v>
      </c>
      <c r="L639" t="s">
        <v>28</v>
      </c>
      <c r="M639" t="s">
        <v>37</v>
      </c>
      <c r="O639" t="s">
        <v>38</v>
      </c>
      <c r="Q639">
        <v>12</v>
      </c>
      <c r="T639" t="str">
        <f>IF(RecruitmentTable[[#This Row],[Final Status]]="In process","Screening",IF(RecruitmentTable[[#This Row],[Final Status]]="Selected","Offer","Rejected"))</f>
        <v>Rejected</v>
      </c>
      <c r="U639">
        <f>IF(RecruitmentTable[[#This Row],[Final Status]]="Selected",1,0)</f>
        <v>0</v>
      </c>
    </row>
    <row r="640" spans="1:21" x14ac:dyDescent="0.25">
      <c r="A640" t="s">
        <v>950</v>
      </c>
      <c r="B640" t="s">
        <v>266</v>
      </c>
      <c r="C640" s="1">
        <v>46221</v>
      </c>
      <c r="D640" t="s">
        <v>56</v>
      </c>
      <c r="E640" t="s">
        <v>34</v>
      </c>
      <c r="F640" t="s">
        <v>57</v>
      </c>
      <c r="G640" t="s">
        <v>84</v>
      </c>
      <c r="H640" t="s">
        <v>62</v>
      </c>
      <c r="I640" t="s">
        <v>37</v>
      </c>
      <c r="J640" t="s">
        <v>38</v>
      </c>
      <c r="K640" s="1"/>
      <c r="L640" t="s">
        <v>38</v>
      </c>
      <c r="M640" t="s">
        <v>37</v>
      </c>
      <c r="O640" t="s">
        <v>38</v>
      </c>
      <c r="T640" t="str">
        <f>IF(RecruitmentTable[[#This Row],[Final Status]]="In process","Screening",IF(RecruitmentTable[[#This Row],[Final Status]]="Selected","Offer","Rejected"))</f>
        <v>Rejected</v>
      </c>
      <c r="U640">
        <f>IF(RecruitmentTable[[#This Row],[Final Status]]="Selected",1,0)</f>
        <v>0</v>
      </c>
    </row>
    <row r="641" spans="1:21" x14ac:dyDescent="0.25">
      <c r="A641" t="s">
        <v>951</v>
      </c>
      <c r="B641" t="s">
        <v>952</v>
      </c>
      <c r="C641" s="1">
        <v>46236</v>
      </c>
      <c r="D641" t="s">
        <v>65</v>
      </c>
      <c r="E641" t="s">
        <v>42</v>
      </c>
      <c r="F641" t="s">
        <v>57</v>
      </c>
      <c r="G641" t="s">
        <v>84</v>
      </c>
      <c r="H641" t="s">
        <v>25</v>
      </c>
      <c r="I641" t="s">
        <v>37</v>
      </c>
      <c r="J641" t="s">
        <v>38</v>
      </c>
      <c r="K641" s="1"/>
      <c r="L641" t="s">
        <v>38</v>
      </c>
      <c r="M641" t="s">
        <v>37</v>
      </c>
      <c r="O641" t="s">
        <v>38</v>
      </c>
      <c r="T641" t="str">
        <f>IF(RecruitmentTable[[#This Row],[Final Status]]="In process","Screening",IF(RecruitmentTable[[#This Row],[Final Status]]="Selected","Offer","Rejected"))</f>
        <v>Rejected</v>
      </c>
      <c r="U641">
        <f>IF(RecruitmentTable[[#This Row],[Final Status]]="Selected",1,0)</f>
        <v>0</v>
      </c>
    </row>
    <row r="642" spans="1:21" x14ac:dyDescent="0.25">
      <c r="A642" t="s">
        <v>953</v>
      </c>
      <c r="B642" t="s">
        <v>189</v>
      </c>
      <c r="C642" s="1">
        <v>46136</v>
      </c>
      <c r="D642" t="s">
        <v>83</v>
      </c>
      <c r="E642" t="s">
        <v>34</v>
      </c>
      <c r="F642" t="s">
        <v>50</v>
      </c>
      <c r="G642" t="s">
        <v>24</v>
      </c>
      <c r="H642" t="s">
        <v>25</v>
      </c>
      <c r="I642" t="s">
        <v>37</v>
      </c>
      <c r="J642" t="s">
        <v>38</v>
      </c>
      <c r="K642" s="1"/>
      <c r="L642" t="s">
        <v>38</v>
      </c>
      <c r="M642" t="s">
        <v>37</v>
      </c>
      <c r="O642" t="s">
        <v>38</v>
      </c>
      <c r="T642" t="str">
        <f>IF(RecruitmentTable[[#This Row],[Final Status]]="In process","Screening",IF(RecruitmentTable[[#This Row],[Final Status]]="Selected","Offer","Rejected"))</f>
        <v>Rejected</v>
      </c>
      <c r="U642">
        <f>IF(RecruitmentTable[[#This Row],[Final Status]]="Selected",1,0)</f>
        <v>0</v>
      </c>
    </row>
    <row r="643" spans="1:21" x14ac:dyDescent="0.25">
      <c r="A643" t="s">
        <v>954</v>
      </c>
      <c r="B643" t="s">
        <v>251</v>
      </c>
      <c r="C643" s="1">
        <v>46160</v>
      </c>
      <c r="D643" t="s">
        <v>56</v>
      </c>
      <c r="E643" t="s">
        <v>34</v>
      </c>
      <c r="F643" t="s">
        <v>100</v>
      </c>
      <c r="G643" t="s">
        <v>84</v>
      </c>
      <c r="H643" t="s">
        <v>72</v>
      </c>
      <c r="I643" t="s">
        <v>26</v>
      </c>
      <c r="J643" t="s">
        <v>27</v>
      </c>
      <c r="K643" s="1">
        <v>46165</v>
      </c>
      <c r="L643" t="s">
        <v>28</v>
      </c>
      <c r="M643" t="s">
        <v>37</v>
      </c>
      <c r="O643" t="s">
        <v>38</v>
      </c>
      <c r="Q643">
        <v>5</v>
      </c>
      <c r="T643" t="str">
        <f>IF(RecruitmentTable[[#This Row],[Final Status]]="In process","Screening",IF(RecruitmentTable[[#This Row],[Final Status]]="Selected","Offer","Rejected"))</f>
        <v>Rejected</v>
      </c>
      <c r="U643">
        <f>IF(RecruitmentTable[[#This Row],[Final Status]]="Selected",1,0)</f>
        <v>0</v>
      </c>
    </row>
    <row r="644" spans="1:21" x14ac:dyDescent="0.25">
      <c r="A644" t="s">
        <v>955</v>
      </c>
      <c r="B644" t="s">
        <v>161</v>
      </c>
      <c r="C644" s="1">
        <v>46114</v>
      </c>
      <c r="D644" t="s">
        <v>33</v>
      </c>
      <c r="E644" t="s">
        <v>34</v>
      </c>
      <c r="F644" t="s">
        <v>50</v>
      </c>
      <c r="G644" t="s">
        <v>47</v>
      </c>
      <c r="H644" t="s">
        <v>62</v>
      </c>
      <c r="I644" t="s">
        <v>26</v>
      </c>
      <c r="J644" t="s">
        <v>27</v>
      </c>
      <c r="K644" s="1">
        <v>46128</v>
      </c>
      <c r="L644" t="s">
        <v>28</v>
      </c>
      <c r="M644" t="s">
        <v>29</v>
      </c>
      <c r="N644" s="1">
        <v>46135</v>
      </c>
      <c r="O644" t="s">
        <v>227</v>
      </c>
      <c r="Q644">
        <v>14</v>
      </c>
      <c r="R644">
        <v>7</v>
      </c>
      <c r="T644" t="str">
        <f>IF(RecruitmentTable[[#This Row],[Final Status]]="In process","Screening",IF(RecruitmentTable[[#This Row],[Final Status]]="Selected","Offer","Rejected"))</f>
        <v>Offer</v>
      </c>
      <c r="U644">
        <f>IF(RecruitmentTable[[#This Row],[Final Status]]="Selected",1,0)</f>
        <v>1</v>
      </c>
    </row>
    <row r="645" spans="1:21" x14ac:dyDescent="0.25">
      <c r="A645" t="s">
        <v>956</v>
      </c>
      <c r="B645" t="s">
        <v>215</v>
      </c>
      <c r="C645" s="1">
        <v>46248</v>
      </c>
      <c r="D645" t="s">
        <v>33</v>
      </c>
      <c r="E645" t="s">
        <v>34</v>
      </c>
      <c r="F645" t="s">
        <v>35</v>
      </c>
      <c r="G645" t="s">
        <v>84</v>
      </c>
      <c r="H645" t="s">
        <v>62</v>
      </c>
      <c r="I645" t="s">
        <v>37</v>
      </c>
      <c r="J645" t="s">
        <v>38</v>
      </c>
      <c r="K645" s="1"/>
      <c r="L645" t="s">
        <v>38</v>
      </c>
      <c r="M645" t="s">
        <v>37</v>
      </c>
      <c r="O645" t="s">
        <v>38</v>
      </c>
      <c r="T645" t="str">
        <f>IF(RecruitmentTable[[#This Row],[Final Status]]="In process","Screening",IF(RecruitmentTable[[#This Row],[Final Status]]="Selected","Offer","Rejected"))</f>
        <v>Rejected</v>
      </c>
      <c r="U645">
        <f>IF(RecruitmentTable[[#This Row],[Final Status]]="Selected",1,0)</f>
        <v>0</v>
      </c>
    </row>
    <row r="646" spans="1:21" x14ac:dyDescent="0.25">
      <c r="A646" t="s">
        <v>957</v>
      </c>
      <c r="B646" t="s">
        <v>155</v>
      </c>
      <c r="C646" s="1">
        <v>46282</v>
      </c>
      <c r="D646" t="s">
        <v>83</v>
      </c>
      <c r="E646" t="s">
        <v>34</v>
      </c>
      <c r="F646" t="s">
        <v>35</v>
      </c>
      <c r="G646" t="s">
        <v>71</v>
      </c>
      <c r="H646" t="s">
        <v>62</v>
      </c>
      <c r="I646" t="s">
        <v>26</v>
      </c>
      <c r="J646" t="s">
        <v>38</v>
      </c>
      <c r="K646" s="1"/>
      <c r="L646" t="s">
        <v>58</v>
      </c>
      <c r="M646" t="s">
        <v>59</v>
      </c>
      <c r="O646" t="s">
        <v>38</v>
      </c>
      <c r="T646" t="str">
        <f>IF(RecruitmentTable[[#This Row],[Final Status]]="In process","Screening",IF(RecruitmentTable[[#This Row],[Final Status]]="Selected","Offer","Rejected"))</f>
        <v>Screening</v>
      </c>
      <c r="U646">
        <f>IF(RecruitmentTable[[#This Row],[Final Status]]="Selected",1,0)</f>
        <v>0</v>
      </c>
    </row>
    <row r="647" spans="1:21" x14ac:dyDescent="0.25">
      <c r="A647" t="s">
        <v>958</v>
      </c>
      <c r="B647" t="s">
        <v>518</v>
      </c>
      <c r="C647" s="1">
        <v>46061</v>
      </c>
      <c r="D647" t="s">
        <v>33</v>
      </c>
      <c r="E647" t="s">
        <v>34</v>
      </c>
      <c r="F647" t="s">
        <v>57</v>
      </c>
      <c r="G647" t="s">
        <v>66</v>
      </c>
      <c r="H647" t="s">
        <v>62</v>
      </c>
      <c r="I647" t="s">
        <v>37</v>
      </c>
      <c r="J647" t="s">
        <v>38</v>
      </c>
      <c r="K647" s="1"/>
      <c r="L647" t="s">
        <v>38</v>
      </c>
      <c r="M647" t="s">
        <v>37</v>
      </c>
      <c r="O647" t="s">
        <v>38</v>
      </c>
      <c r="T647" t="str">
        <f>IF(RecruitmentTable[[#This Row],[Final Status]]="In process","Screening",IF(RecruitmentTable[[#This Row],[Final Status]]="Selected","Offer","Rejected"))</f>
        <v>Rejected</v>
      </c>
      <c r="U647">
        <f>IF(RecruitmentTable[[#This Row],[Final Status]]="Selected",1,0)</f>
        <v>0</v>
      </c>
    </row>
    <row r="648" spans="1:21" x14ac:dyDescent="0.25">
      <c r="A648" t="s">
        <v>959</v>
      </c>
      <c r="B648" t="s">
        <v>257</v>
      </c>
      <c r="C648" s="1">
        <v>46121</v>
      </c>
      <c r="D648" t="s">
        <v>65</v>
      </c>
      <c r="E648" t="s">
        <v>42</v>
      </c>
      <c r="F648" t="s">
        <v>23</v>
      </c>
      <c r="G648" t="s">
        <v>24</v>
      </c>
      <c r="H648" t="s">
        <v>62</v>
      </c>
      <c r="I648" t="s">
        <v>26</v>
      </c>
      <c r="J648" t="s">
        <v>27</v>
      </c>
      <c r="K648" s="1">
        <v>46126</v>
      </c>
      <c r="L648" t="s">
        <v>28</v>
      </c>
      <c r="M648" t="s">
        <v>37</v>
      </c>
      <c r="O648" t="s">
        <v>38</v>
      </c>
      <c r="Q648">
        <v>5</v>
      </c>
      <c r="T648" t="str">
        <f>IF(RecruitmentTable[[#This Row],[Final Status]]="In process","Screening",IF(RecruitmentTable[[#This Row],[Final Status]]="Selected","Offer","Rejected"))</f>
        <v>Rejected</v>
      </c>
      <c r="U648">
        <f>IF(RecruitmentTable[[#This Row],[Final Status]]="Selected",1,0)</f>
        <v>0</v>
      </c>
    </row>
    <row r="649" spans="1:21" x14ac:dyDescent="0.25">
      <c r="A649" t="s">
        <v>960</v>
      </c>
      <c r="B649" t="s">
        <v>376</v>
      </c>
      <c r="C649" s="1">
        <v>46091</v>
      </c>
      <c r="D649" t="s">
        <v>33</v>
      </c>
      <c r="E649" t="s">
        <v>34</v>
      </c>
      <c r="F649" t="s">
        <v>23</v>
      </c>
      <c r="G649" t="s">
        <v>36</v>
      </c>
      <c r="H649" t="s">
        <v>51</v>
      </c>
      <c r="I649" t="s">
        <v>26</v>
      </c>
      <c r="J649" t="s">
        <v>27</v>
      </c>
      <c r="K649" s="1">
        <v>46100</v>
      </c>
      <c r="L649" t="s">
        <v>28</v>
      </c>
      <c r="M649" t="s">
        <v>37</v>
      </c>
      <c r="O649" t="s">
        <v>38</v>
      </c>
      <c r="Q649">
        <v>9</v>
      </c>
      <c r="T649" t="str">
        <f>IF(RecruitmentTable[[#This Row],[Final Status]]="In process","Screening",IF(RecruitmentTable[[#This Row],[Final Status]]="Selected","Offer","Rejected"))</f>
        <v>Rejected</v>
      </c>
      <c r="U649">
        <f>IF(RecruitmentTable[[#This Row],[Final Status]]="Selected",1,0)</f>
        <v>0</v>
      </c>
    </row>
    <row r="650" spans="1:21" x14ac:dyDescent="0.25">
      <c r="A650" t="s">
        <v>961</v>
      </c>
      <c r="B650" t="s">
        <v>962</v>
      </c>
      <c r="C650" s="1">
        <v>46240</v>
      </c>
      <c r="D650" t="s">
        <v>65</v>
      </c>
      <c r="E650" t="s">
        <v>42</v>
      </c>
      <c r="F650" t="s">
        <v>50</v>
      </c>
      <c r="G650" t="s">
        <v>71</v>
      </c>
      <c r="H650" t="s">
        <v>44</v>
      </c>
      <c r="I650" t="s">
        <v>26</v>
      </c>
      <c r="J650" t="s">
        <v>27</v>
      </c>
      <c r="K650" s="1">
        <v>46244</v>
      </c>
      <c r="L650" t="s">
        <v>28</v>
      </c>
      <c r="M650" t="s">
        <v>37</v>
      </c>
      <c r="O650" t="s">
        <v>38</v>
      </c>
      <c r="Q650">
        <v>4</v>
      </c>
      <c r="T650" t="str">
        <f>IF(RecruitmentTable[[#This Row],[Final Status]]="In process","Screening",IF(RecruitmentTable[[#This Row],[Final Status]]="Selected","Offer","Rejected"))</f>
        <v>Rejected</v>
      </c>
      <c r="U650">
        <f>IF(RecruitmentTable[[#This Row],[Final Status]]="Selected",1,0)</f>
        <v>0</v>
      </c>
    </row>
    <row r="651" spans="1:21" x14ac:dyDescent="0.25">
      <c r="A651" t="s">
        <v>963</v>
      </c>
      <c r="B651" t="s">
        <v>843</v>
      </c>
      <c r="C651" s="1">
        <v>46281</v>
      </c>
      <c r="D651" t="s">
        <v>33</v>
      </c>
      <c r="E651" t="s">
        <v>34</v>
      </c>
      <c r="F651" t="s">
        <v>35</v>
      </c>
      <c r="G651" t="s">
        <v>47</v>
      </c>
      <c r="H651" t="s">
        <v>62</v>
      </c>
      <c r="I651" t="s">
        <v>26</v>
      </c>
      <c r="J651" t="s">
        <v>27</v>
      </c>
      <c r="K651" s="1">
        <v>46294</v>
      </c>
      <c r="L651" t="s">
        <v>28</v>
      </c>
      <c r="M651" t="s">
        <v>37</v>
      </c>
      <c r="O651" t="s">
        <v>38</v>
      </c>
      <c r="Q651">
        <v>13</v>
      </c>
      <c r="T651" t="str">
        <f>IF(RecruitmentTable[[#This Row],[Final Status]]="In process","Screening",IF(RecruitmentTable[[#This Row],[Final Status]]="Selected","Offer","Rejected"))</f>
        <v>Rejected</v>
      </c>
      <c r="U651">
        <f>IF(RecruitmentTable[[#This Row],[Final Status]]="Selected",1,0)</f>
        <v>0</v>
      </c>
    </row>
    <row r="652" spans="1:21" x14ac:dyDescent="0.25">
      <c r="A652" t="s">
        <v>964</v>
      </c>
      <c r="B652" t="s">
        <v>932</v>
      </c>
      <c r="C652" s="1">
        <v>46239</v>
      </c>
      <c r="D652" t="s">
        <v>33</v>
      </c>
      <c r="E652" t="s">
        <v>34</v>
      </c>
      <c r="F652" t="s">
        <v>35</v>
      </c>
      <c r="G652" t="s">
        <v>24</v>
      </c>
      <c r="H652" t="s">
        <v>25</v>
      </c>
      <c r="I652" t="s">
        <v>26</v>
      </c>
      <c r="J652" t="s">
        <v>27</v>
      </c>
      <c r="K652" s="1">
        <v>46256</v>
      </c>
      <c r="L652" t="s">
        <v>28</v>
      </c>
      <c r="M652" t="s">
        <v>29</v>
      </c>
      <c r="N652" s="1">
        <v>46259</v>
      </c>
      <c r="O652" t="s">
        <v>30</v>
      </c>
      <c r="P652" s="1">
        <v>46284</v>
      </c>
      <c r="Q652">
        <v>17</v>
      </c>
      <c r="R652">
        <v>3</v>
      </c>
      <c r="S652">
        <v>25</v>
      </c>
      <c r="T652" t="str">
        <f>IF(RecruitmentTable[[#This Row],[Final Status]]="In process","Screening",IF(RecruitmentTable[[#This Row],[Final Status]]="Selected","Offer","Rejected"))</f>
        <v>Offer</v>
      </c>
      <c r="U652">
        <f>IF(RecruitmentTable[[#This Row],[Final Status]]="Selected",1,0)</f>
        <v>1</v>
      </c>
    </row>
    <row r="653" spans="1:21" x14ac:dyDescent="0.25">
      <c r="A653" t="s">
        <v>965</v>
      </c>
      <c r="B653" t="s">
        <v>131</v>
      </c>
      <c r="C653" s="1">
        <v>46116</v>
      </c>
      <c r="D653" t="s">
        <v>21</v>
      </c>
      <c r="E653" t="s">
        <v>22</v>
      </c>
      <c r="F653" t="s">
        <v>57</v>
      </c>
      <c r="G653" t="s">
        <v>36</v>
      </c>
      <c r="H653" t="s">
        <v>44</v>
      </c>
      <c r="I653" t="s">
        <v>26</v>
      </c>
      <c r="J653" t="s">
        <v>27</v>
      </c>
      <c r="K653" s="1">
        <v>46128</v>
      </c>
      <c r="L653" t="s">
        <v>28</v>
      </c>
      <c r="M653" t="s">
        <v>37</v>
      </c>
      <c r="O653" t="s">
        <v>38</v>
      </c>
      <c r="Q653">
        <v>12</v>
      </c>
      <c r="T653" t="str">
        <f>IF(RecruitmentTable[[#This Row],[Final Status]]="In process","Screening",IF(RecruitmentTable[[#This Row],[Final Status]]="Selected","Offer","Rejected"))</f>
        <v>Rejected</v>
      </c>
      <c r="U653">
        <f>IF(RecruitmentTable[[#This Row],[Final Status]]="Selected",1,0)</f>
        <v>0</v>
      </c>
    </row>
    <row r="654" spans="1:21" x14ac:dyDescent="0.25">
      <c r="A654" t="s">
        <v>966</v>
      </c>
      <c r="B654" t="s">
        <v>785</v>
      </c>
      <c r="C654" s="1">
        <v>46124</v>
      </c>
      <c r="D654" t="s">
        <v>41</v>
      </c>
      <c r="E654" t="s">
        <v>42</v>
      </c>
      <c r="F654" t="s">
        <v>23</v>
      </c>
      <c r="G654" t="s">
        <v>36</v>
      </c>
      <c r="H654" t="s">
        <v>72</v>
      </c>
      <c r="I654" t="s">
        <v>26</v>
      </c>
      <c r="J654" t="s">
        <v>27</v>
      </c>
      <c r="K654" s="1">
        <v>46140</v>
      </c>
      <c r="L654" t="s">
        <v>28</v>
      </c>
      <c r="M654" t="s">
        <v>37</v>
      </c>
      <c r="O654" t="s">
        <v>38</v>
      </c>
      <c r="Q654">
        <v>16</v>
      </c>
      <c r="T654" t="str">
        <f>IF(RecruitmentTable[[#This Row],[Final Status]]="In process","Screening",IF(RecruitmentTable[[#This Row],[Final Status]]="Selected","Offer","Rejected"))</f>
        <v>Rejected</v>
      </c>
      <c r="U654">
        <f>IF(RecruitmentTable[[#This Row],[Final Status]]="Selected",1,0)</f>
        <v>0</v>
      </c>
    </row>
    <row r="655" spans="1:21" x14ac:dyDescent="0.25">
      <c r="A655" t="s">
        <v>967</v>
      </c>
      <c r="B655" t="s">
        <v>590</v>
      </c>
      <c r="C655" s="1">
        <v>46242</v>
      </c>
      <c r="D655" t="s">
        <v>21</v>
      </c>
      <c r="E655" t="s">
        <v>22</v>
      </c>
      <c r="F655" t="s">
        <v>100</v>
      </c>
      <c r="G655" t="s">
        <v>71</v>
      </c>
      <c r="H655" t="s">
        <v>51</v>
      </c>
      <c r="I655" t="s">
        <v>26</v>
      </c>
      <c r="J655" t="s">
        <v>27</v>
      </c>
      <c r="K655" s="1">
        <v>46246</v>
      </c>
      <c r="L655" t="s">
        <v>28</v>
      </c>
      <c r="M655" t="s">
        <v>29</v>
      </c>
      <c r="N655" s="1">
        <v>46249</v>
      </c>
      <c r="O655" t="s">
        <v>227</v>
      </c>
      <c r="Q655">
        <v>4</v>
      </c>
      <c r="R655">
        <v>3</v>
      </c>
      <c r="T655" t="str">
        <f>IF(RecruitmentTable[[#This Row],[Final Status]]="In process","Screening",IF(RecruitmentTable[[#This Row],[Final Status]]="Selected","Offer","Rejected"))</f>
        <v>Offer</v>
      </c>
      <c r="U655">
        <f>IF(RecruitmentTable[[#This Row],[Final Status]]="Selected",1,0)</f>
        <v>1</v>
      </c>
    </row>
    <row r="656" spans="1:21" x14ac:dyDescent="0.25">
      <c r="A656" t="s">
        <v>968</v>
      </c>
      <c r="B656" t="s">
        <v>831</v>
      </c>
      <c r="C656" s="1">
        <v>46175</v>
      </c>
      <c r="D656" t="s">
        <v>41</v>
      </c>
      <c r="E656" t="s">
        <v>42</v>
      </c>
      <c r="F656" t="s">
        <v>35</v>
      </c>
      <c r="G656" t="s">
        <v>47</v>
      </c>
      <c r="H656" t="s">
        <v>25</v>
      </c>
      <c r="I656" t="s">
        <v>37</v>
      </c>
      <c r="J656" t="s">
        <v>38</v>
      </c>
      <c r="K656" s="1"/>
      <c r="L656" t="s">
        <v>38</v>
      </c>
      <c r="M656" t="s">
        <v>37</v>
      </c>
      <c r="O656" t="s">
        <v>38</v>
      </c>
      <c r="T656" t="str">
        <f>IF(RecruitmentTable[[#This Row],[Final Status]]="In process","Screening",IF(RecruitmentTable[[#This Row],[Final Status]]="Selected","Offer","Rejected"))</f>
        <v>Rejected</v>
      </c>
      <c r="U656">
        <f>IF(RecruitmentTable[[#This Row],[Final Status]]="Selected",1,0)</f>
        <v>0</v>
      </c>
    </row>
    <row r="657" spans="1:21" x14ac:dyDescent="0.25">
      <c r="A657" t="s">
        <v>969</v>
      </c>
      <c r="B657" t="s">
        <v>970</v>
      </c>
      <c r="C657" s="1">
        <v>46024</v>
      </c>
      <c r="D657" t="s">
        <v>41</v>
      </c>
      <c r="E657" t="s">
        <v>42</v>
      </c>
      <c r="F657" t="s">
        <v>23</v>
      </c>
      <c r="G657" t="s">
        <v>71</v>
      </c>
      <c r="H657" t="s">
        <v>44</v>
      </c>
      <c r="I657" t="s">
        <v>37</v>
      </c>
      <c r="J657" t="s">
        <v>38</v>
      </c>
      <c r="K657" s="1"/>
      <c r="L657" t="s">
        <v>38</v>
      </c>
      <c r="M657" t="s">
        <v>37</v>
      </c>
      <c r="O657" t="s">
        <v>38</v>
      </c>
      <c r="T657" t="str">
        <f>IF(RecruitmentTable[[#This Row],[Final Status]]="In process","Screening",IF(RecruitmentTable[[#This Row],[Final Status]]="Selected","Offer","Rejected"))</f>
        <v>Rejected</v>
      </c>
      <c r="U657">
        <f>IF(RecruitmentTable[[#This Row],[Final Status]]="Selected",1,0)</f>
        <v>0</v>
      </c>
    </row>
    <row r="658" spans="1:21" x14ac:dyDescent="0.25">
      <c r="A658" t="s">
        <v>971</v>
      </c>
      <c r="B658" t="s">
        <v>125</v>
      </c>
      <c r="C658" s="1">
        <v>46139</v>
      </c>
      <c r="D658" t="s">
        <v>41</v>
      </c>
      <c r="E658" t="s">
        <v>42</v>
      </c>
      <c r="F658" t="s">
        <v>57</v>
      </c>
      <c r="G658" t="s">
        <v>36</v>
      </c>
      <c r="H658" t="s">
        <v>62</v>
      </c>
      <c r="I658" t="s">
        <v>26</v>
      </c>
      <c r="J658" t="s">
        <v>27</v>
      </c>
      <c r="K658" s="1">
        <v>46152</v>
      </c>
      <c r="L658" t="s">
        <v>28</v>
      </c>
      <c r="M658" t="s">
        <v>29</v>
      </c>
      <c r="N658" s="1">
        <v>46156</v>
      </c>
      <c r="O658" t="s">
        <v>30</v>
      </c>
      <c r="P658" s="1">
        <v>46169</v>
      </c>
      <c r="Q658">
        <v>13</v>
      </c>
      <c r="R658">
        <v>4</v>
      </c>
      <c r="S658">
        <v>13</v>
      </c>
      <c r="T658" t="str">
        <f>IF(RecruitmentTable[[#This Row],[Final Status]]="In process","Screening",IF(RecruitmentTable[[#This Row],[Final Status]]="Selected","Offer","Rejected"))</f>
        <v>Offer</v>
      </c>
      <c r="U658">
        <f>IF(RecruitmentTable[[#This Row],[Final Status]]="Selected",1,0)</f>
        <v>1</v>
      </c>
    </row>
    <row r="659" spans="1:21" x14ac:dyDescent="0.25">
      <c r="A659" t="s">
        <v>972</v>
      </c>
      <c r="B659" t="s">
        <v>90</v>
      </c>
      <c r="C659" s="1">
        <v>46038</v>
      </c>
      <c r="D659" t="s">
        <v>21</v>
      </c>
      <c r="E659" t="s">
        <v>22</v>
      </c>
      <c r="F659" t="s">
        <v>100</v>
      </c>
      <c r="G659" t="s">
        <v>24</v>
      </c>
      <c r="H659" t="s">
        <v>72</v>
      </c>
      <c r="I659" t="s">
        <v>26</v>
      </c>
      <c r="J659" t="s">
        <v>38</v>
      </c>
      <c r="K659" s="1"/>
      <c r="L659" t="s">
        <v>58</v>
      </c>
      <c r="M659" t="s">
        <v>59</v>
      </c>
      <c r="O659" t="s">
        <v>38</v>
      </c>
      <c r="T659" t="str">
        <f>IF(RecruitmentTable[[#This Row],[Final Status]]="In process","Screening",IF(RecruitmentTable[[#This Row],[Final Status]]="Selected","Offer","Rejected"))</f>
        <v>Screening</v>
      </c>
      <c r="U659">
        <f>IF(RecruitmentTable[[#This Row],[Final Status]]="Selected",1,0)</f>
        <v>0</v>
      </c>
    </row>
    <row r="660" spans="1:21" x14ac:dyDescent="0.25">
      <c r="A660" t="s">
        <v>973</v>
      </c>
      <c r="B660" t="s">
        <v>974</v>
      </c>
      <c r="C660" s="1">
        <v>46097</v>
      </c>
      <c r="D660" t="s">
        <v>56</v>
      </c>
      <c r="E660" t="s">
        <v>34</v>
      </c>
      <c r="F660" t="s">
        <v>43</v>
      </c>
      <c r="G660" t="s">
        <v>84</v>
      </c>
      <c r="H660" t="s">
        <v>62</v>
      </c>
      <c r="I660" t="s">
        <v>26</v>
      </c>
      <c r="J660" t="s">
        <v>27</v>
      </c>
      <c r="K660" s="1">
        <v>46101</v>
      </c>
      <c r="L660" t="s">
        <v>28</v>
      </c>
      <c r="M660" t="s">
        <v>37</v>
      </c>
      <c r="O660" t="s">
        <v>38</v>
      </c>
      <c r="Q660">
        <v>4</v>
      </c>
      <c r="T660" t="str">
        <f>IF(RecruitmentTable[[#This Row],[Final Status]]="In process","Screening",IF(RecruitmentTable[[#This Row],[Final Status]]="Selected","Offer","Rejected"))</f>
        <v>Rejected</v>
      </c>
      <c r="U660">
        <f>IF(RecruitmentTable[[#This Row],[Final Status]]="Selected",1,0)</f>
        <v>0</v>
      </c>
    </row>
    <row r="661" spans="1:21" x14ac:dyDescent="0.25">
      <c r="A661" t="s">
        <v>975</v>
      </c>
      <c r="B661" t="s">
        <v>447</v>
      </c>
      <c r="C661" s="1">
        <v>46024</v>
      </c>
      <c r="D661" t="s">
        <v>33</v>
      </c>
      <c r="E661" t="s">
        <v>34</v>
      </c>
      <c r="F661" t="s">
        <v>100</v>
      </c>
      <c r="G661" t="s">
        <v>24</v>
      </c>
      <c r="H661" t="s">
        <v>51</v>
      </c>
      <c r="I661" t="s">
        <v>37</v>
      </c>
      <c r="J661" t="s">
        <v>38</v>
      </c>
      <c r="K661" s="1"/>
      <c r="L661" t="s">
        <v>38</v>
      </c>
      <c r="M661" t="s">
        <v>37</v>
      </c>
      <c r="O661" t="s">
        <v>38</v>
      </c>
      <c r="T661" t="str">
        <f>IF(RecruitmentTable[[#This Row],[Final Status]]="In process","Screening",IF(RecruitmentTable[[#This Row],[Final Status]]="Selected","Offer","Rejected"))</f>
        <v>Rejected</v>
      </c>
      <c r="U661">
        <f>IF(RecruitmentTable[[#This Row],[Final Status]]="Selected",1,0)</f>
        <v>0</v>
      </c>
    </row>
    <row r="662" spans="1:21" x14ac:dyDescent="0.25">
      <c r="A662" t="s">
        <v>976</v>
      </c>
      <c r="B662" t="s">
        <v>977</v>
      </c>
      <c r="C662" s="1">
        <v>46210</v>
      </c>
      <c r="D662" t="s">
        <v>41</v>
      </c>
      <c r="E662" t="s">
        <v>42</v>
      </c>
      <c r="F662" t="s">
        <v>57</v>
      </c>
      <c r="G662" t="s">
        <v>84</v>
      </c>
      <c r="H662" t="s">
        <v>72</v>
      </c>
      <c r="I662" t="s">
        <v>37</v>
      </c>
      <c r="J662" t="s">
        <v>38</v>
      </c>
      <c r="K662" s="1"/>
      <c r="L662" t="s">
        <v>38</v>
      </c>
      <c r="M662" t="s">
        <v>37</v>
      </c>
      <c r="O662" t="s">
        <v>38</v>
      </c>
      <c r="T662" t="str">
        <f>IF(RecruitmentTable[[#This Row],[Final Status]]="In process","Screening",IF(RecruitmentTable[[#This Row],[Final Status]]="Selected","Offer","Rejected"))</f>
        <v>Rejected</v>
      </c>
      <c r="U662">
        <f>IF(RecruitmentTable[[#This Row],[Final Status]]="Selected",1,0)</f>
        <v>0</v>
      </c>
    </row>
    <row r="663" spans="1:21" x14ac:dyDescent="0.25">
      <c r="A663" t="s">
        <v>978</v>
      </c>
      <c r="B663" t="s">
        <v>289</v>
      </c>
      <c r="C663" s="1">
        <v>46105</v>
      </c>
      <c r="D663" t="s">
        <v>21</v>
      </c>
      <c r="E663" t="s">
        <v>22</v>
      </c>
      <c r="F663" t="s">
        <v>57</v>
      </c>
      <c r="G663" t="s">
        <v>24</v>
      </c>
      <c r="H663" t="s">
        <v>62</v>
      </c>
      <c r="I663" t="s">
        <v>37</v>
      </c>
      <c r="J663" t="s">
        <v>38</v>
      </c>
      <c r="K663" s="1"/>
      <c r="L663" t="s">
        <v>38</v>
      </c>
      <c r="M663" t="s">
        <v>37</v>
      </c>
      <c r="O663" t="s">
        <v>38</v>
      </c>
      <c r="T663" t="str">
        <f>IF(RecruitmentTable[[#This Row],[Final Status]]="In process","Screening",IF(RecruitmentTable[[#This Row],[Final Status]]="Selected","Offer","Rejected"))</f>
        <v>Rejected</v>
      </c>
      <c r="U663">
        <f>IF(RecruitmentTable[[#This Row],[Final Status]]="Selected",1,0)</f>
        <v>0</v>
      </c>
    </row>
    <row r="664" spans="1:21" x14ac:dyDescent="0.25">
      <c r="A664" t="s">
        <v>979</v>
      </c>
      <c r="B664" t="s">
        <v>839</v>
      </c>
      <c r="C664" s="1">
        <v>46186</v>
      </c>
      <c r="D664" t="s">
        <v>41</v>
      </c>
      <c r="E664" t="s">
        <v>42</v>
      </c>
      <c r="F664" t="s">
        <v>57</v>
      </c>
      <c r="G664" t="s">
        <v>24</v>
      </c>
      <c r="H664" t="s">
        <v>72</v>
      </c>
      <c r="I664" t="s">
        <v>26</v>
      </c>
      <c r="J664" t="s">
        <v>27</v>
      </c>
      <c r="K664" s="1">
        <v>46202</v>
      </c>
      <c r="L664" t="s">
        <v>28</v>
      </c>
      <c r="M664" t="s">
        <v>29</v>
      </c>
      <c r="N664" s="1">
        <v>46209</v>
      </c>
      <c r="O664" t="s">
        <v>30</v>
      </c>
      <c r="P664" s="1">
        <v>46239</v>
      </c>
      <c r="Q664">
        <v>16</v>
      </c>
      <c r="R664">
        <v>7</v>
      </c>
      <c r="S664">
        <v>30</v>
      </c>
      <c r="T664" t="str">
        <f>IF(RecruitmentTable[[#This Row],[Final Status]]="In process","Screening",IF(RecruitmentTable[[#This Row],[Final Status]]="Selected","Offer","Rejected"))</f>
        <v>Offer</v>
      </c>
      <c r="U664">
        <f>IF(RecruitmentTable[[#This Row],[Final Status]]="Selected",1,0)</f>
        <v>1</v>
      </c>
    </row>
    <row r="665" spans="1:21" x14ac:dyDescent="0.25">
      <c r="A665" t="s">
        <v>980</v>
      </c>
      <c r="B665" t="s">
        <v>113</v>
      </c>
      <c r="C665" s="1">
        <v>46181</v>
      </c>
      <c r="D665" t="s">
        <v>41</v>
      </c>
      <c r="E665" t="s">
        <v>42</v>
      </c>
      <c r="F665" t="s">
        <v>43</v>
      </c>
      <c r="G665" t="s">
        <v>84</v>
      </c>
      <c r="H665" t="s">
        <v>51</v>
      </c>
      <c r="I665" t="s">
        <v>37</v>
      </c>
      <c r="J665" t="s">
        <v>38</v>
      </c>
      <c r="K665" s="1"/>
      <c r="L665" t="s">
        <v>38</v>
      </c>
      <c r="M665" t="s">
        <v>37</v>
      </c>
      <c r="O665" t="s">
        <v>38</v>
      </c>
      <c r="T665" t="str">
        <f>IF(RecruitmentTable[[#This Row],[Final Status]]="In process","Screening",IF(RecruitmentTable[[#This Row],[Final Status]]="Selected","Offer","Rejected"))</f>
        <v>Rejected</v>
      </c>
      <c r="U665">
        <f>IF(RecruitmentTable[[#This Row],[Final Status]]="Selected",1,0)</f>
        <v>0</v>
      </c>
    </row>
    <row r="666" spans="1:21" x14ac:dyDescent="0.25">
      <c r="A666" t="s">
        <v>981</v>
      </c>
      <c r="B666" t="s">
        <v>982</v>
      </c>
      <c r="C666" s="1">
        <v>46081</v>
      </c>
      <c r="D666" t="s">
        <v>65</v>
      </c>
      <c r="E666" t="s">
        <v>42</v>
      </c>
      <c r="F666" t="s">
        <v>57</v>
      </c>
      <c r="G666" t="s">
        <v>24</v>
      </c>
      <c r="H666" t="s">
        <v>62</v>
      </c>
      <c r="I666" t="s">
        <v>37</v>
      </c>
      <c r="J666" t="s">
        <v>38</v>
      </c>
      <c r="K666" s="1"/>
      <c r="L666" t="s">
        <v>38</v>
      </c>
      <c r="M666" t="s">
        <v>37</v>
      </c>
      <c r="O666" t="s">
        <v>38</v>
      </c>
      <c r="T666" t="str">
        <f>IF(RecruitmentTable[[#This Row],[Final Status]]="In process","Screening",IF(RecruitmentTable[[#This Row],[Final Status]]="Selected","Offer","Rejected"))</f>
        <v>Rejected</v>
      </c>
      <c r="U666">
        <f>IF(RecruitmentTable[[#This Row],[Final Status]]="Selected",1,0)</f>
        <v>0</v>
      </c>
    </row>
    <row r="667" spans="1:21" x14ac:dyDescent="0.25">
      <c r="A667" t="s">
        <v>983</v>
      </c>
      <c r="B667" t="s">
        <v>149</v>
      </c>
      <c r="C667" s="1">
        <v>46233</v>
      </c>
      <c r="D667" t="s">
        <v>33</v>
      </c>
      <c r="E667" t="s">
        <v>34</v>
      </c>
      <c r="F667" t="s">
        <v>35</v>
      </c>
      <c r="G667" t="s">
        <v>47</v>
      </c>
      <c r="H667" t="s">
        <v>25</v>
      </c>
      <c r="I667" t="s">
        <v>26</v>
      </c>
      <c r="J667" t="s">
        <v>27</v>
      </c>
      <c r="K667" s="1">
        <v>46237</v>
      </c>
      <c r="L667" t="s">
        <v>28</v>
      </c>
      <c r="M667" t="s">
        <v>37</v>
      </c>
      <c r="O667" t="s">
        <v>38</v>
      </c>
      <c r="Q667">
        <v>4</v>
      </c>
      <c r="T667" t="str">
        <f>IF(RecruitmentTable[[#This Row],[Final Status]]="In process","Screening",IF(RecruitmentTable[[#This Row],[Final Status]]="Selected","Offer","Rejected"))</f>
        <v>Rejected</v>
      </c>
      <c r="U667">
        <f>IF(RecruitmentTable[[#This Row],[Final Status]]="Selected",1,0)</f>
        <v>0</v>
      </c>
    </row>
    <row r="668" spans="1:21" x14ac:dyDescent="0.25">
      <c r="A668" t="s">
        <v>984</v>
      </c>
      <c r="B668" t="s">
        <v>985</v>
      </c>
      <c r="C668" s="1">
        <v>46193</v>
      </c>
      <c r="D668" t="s">
        <v>41</v>
      </c>
      <c r="E668" t="s">
        <v>42</v>
      </c>
      <c r="F668" t="s">
        <v>50</v>
      </c>
      <c r="G668" t="s">
        <v>47</v>
      </c>
      <c r="H668" t="s">
        <v>72</v>
      </c>
      <c r="I668" t="s">
        <v>26</v>
      </c>
      <c r="J668" t="s">
        <v>38</v>
      </c>
      <c r="K668" s="1"/>
      <c r="L668" t="s">
        <v>58</v>
      </c>
      <c r="M668" t="s">
        <v>59</v>
      </c>
      <c r="O668" t="s">
        <v>38</v>
      </c>
      <c r="T668" t="str">
        <f>IF(RecruitmentTable[[#This Row],[Final Status]]="In process","Screening",IF(RecruitmentTable[[#This Row],[Final Status]]="Selected","Offer","Rejected"))</f>
        <v>Screening</v>
      </c>
      <c r="U668">
        <f>IF(RecruitmentTable[[#This Row],[Final Status]]="Selected",1,0)</f>
        <v>0</v>
      </c>
    </row>
    <row r="669" spans="1:21" x14ac:dyDescent="0.25">
      <c r="A669" t="s">
        <v>986</v>
      </c>
      <c r="B669" t="s">
        <v>839</v>
      </c>
      <c r="C669" s="1">
        <v>46165</v>
      </c>
      <c r="D669" t="s">
        <v>56</v>
      </c>
      <c r="E669" t="s">
        <v>34</v>
      </c>
      <c r="F669" t="s">
        <v>50</v>
      </c>
      <c r="G669" t="s">
        <v>47</v>
      </c>
      <c r="H669" t="s">
        <v>44</v>
      </c>
      <c r="I669" t="s">
        <v>37</v>
      </c>
      <c r="J669" t="s">
        <v>38</v>
      </c>
      <c r="K669" s="1"/>
      <c r="L669" t="s">
        <v>38</v>
      </c>
      <c r="M669" t="s">
        <v>37</v>
      </c>
      <c r="O669" t="s">
        <v>38</v>
      </c>
      <c r="T669" t="str">
        <f>IF(RecruitmentTable[[#This Row],[Final Status]]="In process","Screening",IF(RecruitmentTable[[#This Row],[Final Status]]="Selected","Offer","Rejected"))</f>
        <v>Rejected</v>
      </c>
      <c r="U669">
        <f>IF(RecruitmentTable[[#This Row],[Final Status]]="Selected",1,0)</f>
        <v>0</v>
      </c>
    </row>
    <row r="670" spans="1:21" x14ac:dyDescent="0.25">
      <c r="A670" t="s">
        <v>987</v>
      </c>
      <c r="B670" t="s">
        <v>141</v>
      </c>
      <c r="C670" s="1">
        <v>46253</v>
      </c>
      <c r="D670" t="s">
        <v>56</v>
      </c>
      <c r="E670" t="s">
        <v>34</v>
      </c>
      <c r="F670" t="s">
        <v>43</v>
      </c>
      <c r="G670" t="s">
        <v>36</v>
      </c>
      <c r="H670" t="s">
        <v>51</v>
      </c>
      <c r="I670" t="s">
        <v>26</v>
      </c>
      <c r="J670" t="s">
        <v>27</v>
      </c>
      <c r="K670" s="1">
        <v>46260</v>
      </c>
      <c r="L670" t="s">
        <v>28</v>
      </c>
      <c r="M670" t="s">
        <v>37</v>
      </c>
      <c r="O670" t="s">
        <v>38</v>
      </c>
      <c r="Q670">
        <v>7</v>
      </c>
      <c r="T670" t="str">
        <f>IF(RecruitmentTable[[#This Row],[Final Status]]="In process","Screening",IF(RecruitmentTable[[#This Row],[Final Status]]="Selected","Offer","Rejected"))</f>
        <v>Rejected</v>
      </c>
      <c r="U670">
        <f>IF(RecruitmentTable[[#This Row],[Final Status]]="Selected",1,0)</f>
        <v>0</v>
      </c>
    </row>
    <row r="671" spans="1:21" x14ac:dyDescent="0.25">
      <c r="A671" t="s">
        <v>988</v>
      </c>
      <c r="B671" t="s">
        <v>165</v>
      </c>
      <c r="C671" s="1">
        <v>46218</v>
      </c>
      <c r="D671" t="s">
        <v>83</v>
      </c>
      <c r="E671" t="s">
        <v>34</v>
      </c>
      <c r="F671" t="s">
        <v>57</v>
      </c>
      <c r="G671" t="s">
        <v>71</v>
      </c>
      <c r="H671" t="s">
        <v>44</v>
      </c>
      <c r="I671" t="s">
        <v>37</v>
      </c>
      <c r="J671" t="s">
        <v>38</v>
      </c>
      <c r="K671" s="1"/>
      <c r="L671" t="s">
        <v>38</v>
      </c>
      <c r="M671" t="s">
        <v>37</v>
      </c>
      <c r="O671" t="s">
        <v>38</v>
      </c>
      <c r="T671" t="str">
        <f>IF(RecruitmentTable[[#This Row],[Final Status]]="In process","Screening",IF(RecruitmentTable[[#This Row],[Final Status]]="Selected","Offer","Rejected"))</f>
        <v>Rejected</v>
      </c>
      <c r="U671">
        <f>IF(RecruitmentTable[[#This Row],[Final Status]]="Selected",1,0)</f>
        <v>0</v>
      </c>
    </row>
    <row r="672" spans="1:21" x14ac:dyDescent="0.25">
      <c r="A672" t="s">
        <v>989</v>
      </c>
      <c r="B672" t="s">
        <v>374</v>
      </c>
      <c r="C672" s="1">
        <v>46091</v>
      </c>
      <c r="D672" t="s">
        <v>33</v>
      </c>
      <c r="E672" t="s">
        <v>34</v>
      </c>
      <c r="F672" t="s">
        <v>57</v>
      </c>
      <c r="G672" t="s">
        <v>66</v>
      </c>
      <c r="H672" t="s">
        <v>62</v>
      </c>
      <c r="I672" t="s">
        <v>26</v>
      </c>
      <c r="J672" t="s">
        <v>27</v>
      </c>
      <c r="K672" s="1">
        <v>46103</v>
      </c>
      <c r="L672" t="s">
        <v>28</v>
      </c>
      <c r="M672" t="s">
        <v>37</v>
      </c>
      <c r="O672" t="s">
        <v>38</v>
      </c>
      <c r="Q672">
        <v>12</v>
      </c>
      <c r="T672" t="str">
        <f>IF(RecruitmentTable[[#This Row],[Final Status]]="In process","Screening",IF(RecruitmentTable[[#This Row],[Final Status]]="Selected","Offer","Rejected"))</f>
        <v>Rejected</v>
      </c>
      <c r="U672">
        <f>IF(RecruitmentTable[[#This Row],[Final Status]]="Selected",1,0)</f>
        <v>0</v>
      </c>
    </row>
    <row r="673" spans="1:21" x14ac:dyDescent="0.25">
      <c r="A673" t="s">
        <v>990</v>
      </c>
      <c r="B673" t="s">
        <v>991</v>
      </c>
      <c r="C673" s="1">
        <v>46084</v>
      </c>
      <c r="D673" t="s">
        <v>83</v>
      </c>
      <c r="E673" t="s">
        <v>34</v>
      </c>
      <c r="F673" t="s">
        <v>50</v>
      </c>
      <c r="G673" t="s">
        <v>36</v>
      </c>
      <c r="H673" t="s">
        <v>44</v>
      </c>
      <c r="I673" t="s">
        <v>26</v>
      </c>
      <c r="J673" t="s">
        <v>27</v>
      </c>
      <c r="K673" s="1">
        <v>46099</v>
      </c>
      <c r="L673" t="s">
        <v>28</v>
      </c>
      <c r="M673" t="s">
        <v>29</v>
      </c>
      <c r="N673" s="1">
        <v>46102</v>
      </c>
      <c r="O673" t="s">
        <v>30</v>
      </c>
      <c r="P673" s="1">
        <v>46129</v>
      </c>
      <c r="Q673">
        <v>15</v>
      </c>
      <c r="R673">
        <v>3</v>
      </c>
      <c r="S673">
        <v>27</v>
      </c>
      <c r="T673" t="str">
        <f>IF(RecruitmentTable[[#This Row],[Final Status]]="In process","Screening",IF(RecruitmentTable[[#This Row],[Final Status]]="Selected","Offer","Rejected"))</f>
        <v>Offer</v>
      </c>
      <c r="U673">
        <f>IF(RecruitmentTable[[#This Row],[Final Status]]="Selected",1,0)</f>
        <v>1</v>
      </c>
    </row>
    <row r="674" spans="1:21" x14ac:dyDescent="0.25">
      <c r="A674" t="s">
        <v>992</v>
      </c>
      <c r="B674" t="s">
        <v>747</v>
      </c>
      <c r="C674" s="1">
        <v>46091</v>
      </c>
      <c r="D674" t="s">
        <v>83</v>
      </c>
      <c r="E674" t="s">
        <v>34</v>
      </c>
      <c r="F674" t="s">
        <v>50</v>
      </c>
      <c r="G674" t="s">
        <v>71</v>
      </c>
      <c r="H674" t="s">
        <v>62</v>
      </c>
      <c r="I674" t="s">
        <v>26</v>
      </c>
      <c r="J674" t="s">
        <v>38</v>
      </c>
      <c r="K674" s="1"/>
      <c r="L674" t="s">
        <v>58</v>
      </c>
      <c r="M674" t="s">
        <v>59</v>
      </c>
      <c r="O674" t="s">
        <v>38</v>
      </c>
      <c r="T674" t="str">
        <f>IF(RecruitmentTable[[#This Row],[Final Status]]="In process","Screening",IF(RecruitmentTable[[#This Row],[Final Status]]="Selected","Offer","Rejected"))</f>
        <v>Screening</v>
      </c>
      <c r="U674">
        <f>IF(RecruitmentTable[[#This Row],[Final Status]]="Selected",1,0)</f>
        <v>0</v>
      </c>
    </row>
    <row r="675" spans="1:21" x14ac:dyDescent="0.25">
      <c r="A675" t="s">
        <v>993</v>
      </c>
      <c r="B675" t="s">
        <v>138</v>
      </c>
      <c r="C675" s="1">
        <v>46077</v>
      </c>
      <c r="D675" t="s">
        <v>56</v>
      </c>
      <c r="E675" t="s">
        <v>34</v>
      </c>
      <c r="F675" t="s">
        <v>50</v>
      </c>
      <c r="G675" t="s">
        <v>24</v>
      </c>
      <c r="H675" t="s">
        <v>25</v>
      </c>
      <c r="I675" t="s">
        <v>26</v>
      </c>
      <c r="J675" t="s">
        <v>27</v>
      </c>
      <c r="K675" s="1">
        <v>46092</v>
      </c>
      <c r="L675" t="s">
        <v>28</v>
      </c>
      <c r="M675" t="s">
        <v>37</v>
      </c>
      <c r="O675" t="s">
        <v>38</v>
      </c>
      <c r="Q675">
        <v>15</v>
      </c>
      <c r="T675" t="str">
        <f>IF(RecruitmentTable[[#This Row],[Final Status]]="In process","Screening",IF(RecruitmentTable[[#This Row],[Final Status]]="Selected","Offer","Rejected"))</f>
        <v>Rejected</v>
      </c>
      <c r="U675">
        <f>IF(RecruitmentTable[[#This Row],[Final Status]]="Selected",1,0)</f>
        <v>0</v>
      </c>
    </row>
    <row r="676" spans="1:21" x14ac:dyDescent="0.25">
      <c r="A676" t="s">
        <v>994</v>
      </c>
      <c r="B676" t="s">
        <v>670</v>
      </c>
      <c r="C676" s="1">
        <v>46033</v>
      </c>
      <c r="D676" t="s">
        <v>65</v>
      </c>
      <c r="E676" t="s">
        <v>42</v>
      </c>
      <c r="F676" t="s">
        <v>57</v>
      </c>
      <c r="G676" t="s">
        <v>84</v>
      </c>
      <c r="H676" t="s">
        <v>44</v>
      </c>
      <c r="I676" t="s">
        <v>26</v>
      </c>
      <c r="J676" t="s">
        <v>38</v>
      </c>
      <c r="K676" s="1"/>
      <c r="L676" t="s">
        <v>58</v>
      </c>
      <c r="M676" t="s">
        <v>59</v>
      </c>
      <c r="O676" t="s">
        <v>38</v>
      </c>
      <c r="T676" t="str">
        <f>IF(RecruitmentTable[[#This Row],[Final Status]]="In process","Screening",IF(RecruitmentTable[[#This Row],[Final Status]]="Selected","Offer","Rejected"))</f>
        <v>Screening</v>
      </c>
      <c r="U676">
        <f>IF(RecruitmentTable[[#This Row],[Final Status]]="Selected",1,0)</f>
        <v>0</v>
      </c>
    </row>
    <row r="677" spans="1:21" x14ac:dyDescent="0.25">
      <c r="A677" t="s">
        <v>995</v>
      </c>
      <c r="B677" t="s">
        <v>259</v>
      </c>
      <c r="C677" s="1">
        <v>46277</v>
      </c>
      <c r="D677" t="s">
        <v>41</v>
      </c>
      <c r="E677" t="s">
        <v>42</v>
      </c>
      <c r="F677" t="s">
        <v>100</v>
      </c>
      <c r="G677" t="s">
        <v>36</v>
      </c>
      <c r="H677" t="s">
        <v>72</v>
      </c>
      <c r="I677" t="s">
        <v>26</v>
      </c>
      <c r="J677" t="s">
        <v>38</v>
      </c>
      <c r="K677" s="1"/>
      <c r="L677" t="s">
        <v>58</v>
      </c>
      <c r="M677" t="s">
        <v>59</v>
      </c>
      <c r="O677" t="s">
        <v>38</v>
      </c>
      <c r="T677" t="str">
        <f>IF(RecruitmentTable[[#This Row],[Final Status]]="In process","Screening",IF(RecruitmentTable[[#This Row],[Final Status]]="Selected","Offer","Rejected"))</f>
        <v>Screening</v>
      </c>
      <c r="U677">
        <f>IF(RecruitmentTable[[#This Row],[Final Status]]="Selected",1,0)</f>
        <v>0</v>
      </c>
    </row>
    <row r="678" spans="1:21" x14ac:dyDescent="0.25">
      <c r="A678" t="s">
        <v>996</v>
      </c>
      <c r="B678" t="s">
        <v>785</v>
      </c>
      <c r="C678" s="1">
        <v>46229</v>
      </c>
      <c r="D678" t="s">
        <v>41</v>
      </c>
      <c r="E678" t="s">
        <v>42</v>
      </c>
      <c r="F678" t="s">
        <v>100</v>
      </c>
      <c r="G678" t="s">
        <v>71</v>
      </c>
      <c r="H678" t="s">
        <v>51</v>
      </c>
      <c r="I678" t="s">
        <v>26</v>
      </c>
      <c r="J678" t="s">
        <v>27</v>
      </c>
      <c r="K678" s="1">
        <v>46233</v>
      </c>
      <c r="L678" t="s">
        <v>28</v>
      </c>
      <c r="M678" t="s">
        <v>29</v>
      </c>
      <c r="N678" s="1">
        <v>46237</v>
      </c>
      <c r="O678" t="s">
        <v>30</v>
      </c>
      <c r="P678" s="1">
        <v>46251</v>
      </c>
      <c r="Q678">
        <v>4</v>
      </c>
      <c r="R678">
        <v>4</v>
      </c>
      <c r="S678">
        <v>14</v>
      </c>
      <c r="T678" t="str">
        <f>IF(RecruitmentTable[[#This Row],[Final Status]]="In process","Screening",IF(RecruitmentTable[[#This Row],[Final Status]]="Selected","Offer","Rejected"))</f>
        <v>Offer</v>
      </c>
      <c r="U678">
        <f>IF(RecruitmentTable[[#This Row],[Final Status]]="Selected",1,0)</f>
        <v>1</v>
      </c>
    </row>
    <row r="679" spans="1:21" x14ac:dyDescent="0.25">
      <c r="A679" t="s">
        <v>997</v>
      </c>
      <c r="B679" t="s">
        <v>308</v>
      </c>
      <c r="C679" s="1">
        <v>46038</v>
      </c>
      <c r="D679" t="s">
        <v>21</v>
      </c>
      <c r="E679" t="s">
        <v>22</v>
      </c>
      <c r="F679" t="s">
        <v>57</v>
      </c>
      <c r="G679" t="s">
        <v>36</v>
      </c>
      <c r="H679" t="s">
        <v>25</v>
      </c>
      <c r="I679" t="s">
        <v>26</v>
      </c>
      <c r="J679" t="s">
        <v>27</v>
      </c>
      <c r="K679" s="1">
        <v>46046</v>
      </c>
      <c r="L679" t="s">
        <v>28</v>
      </c>
      <c r="M679" t="s">
        <v>37</v>
      </c>
      <c r="O679" t="s">
        <v>38</v>
      </c>
      <c r="Q679">
        <v>8</v>
      </c>
      <c r="T679" t="str">
        <f>IF(RecruitmentTable[[#This Row],[Final Status]]="In process","Screening",IF(RecruitmentTable[[#This Row],[Final Status]]="Selected","Offer","Rejected"))</f>
        <v>Rejected</v>
      </c>
      <c r="U679">
        <f>IF(RecruitmentTable[[#This Row],[Final Status]]="Selected",1,0)</f>
        <v>0</v>
      </c>
    </row>
    <row r="680" spans="1:21" x14ac:dyDescent="0.25">
      <c r="A680" t="s">
        <v>998</v>
      </c>
      <c r="B680" t="s">
        <v>294</v>
      </c>
      <c r="C680" s="1">
        <v>46183</v>
      </c>
      <c r="D680" t="s">
        <v>65</v>
      </c>
      <c r="E680" t="s">
        <v>42</v>
      </c>
      <c r="F680" t="s">
        <v>50</v>
      </c>
      <c r="G680" t="s">
        <v>24</v>
      </c>
      <c r="H680" t="s">
        <v>25</v>
      </c>
      <c r="I680" t="s">
        <v>37</v>
      </c>
      <c r="J680" t="s">
        <v>38</v>
      </c>
      <c r="K680" s="1"/>
      <c r="L680" t="s">
        <v>38</v>
      </c>
      <c r="M680" t="s">
        <v>37</v>
      </c>
      <c r="O680" t="s">
        <v>38</v>
      </c>
      <c r="T680" t="str">
        <f>IF(RecruitmentTable[[#This Row],[Final Status]]="In process","Screening",IF(RecruitmentTable[[#This Row],[Final Status]]="Selected","Offer","Rejected"))</f>
        <v>Rejected</v>
      </c>
      <c r="U680">
        <f>IF(RecruitmentTable[[#This Row],[Final Status]]="Selected",1,0)</f>
        <v>0</v>
      </c>
    </row>
    <row r="681" spans="1:21" x14ac:dyDescent="0.25">
      <c r="A681" t="s">
        <v>999</v>
      </c>
      <c r="B681" t="s">
        <v>171</v>
      </c>
      <c r="C681" s="1">
        <v>46061</v>
      </c>
      <c r="D681" t="s">
        <v>83</v>
      </c>
      <c r="E681" t="s">
        <v>34</v>
      </c>
      <c r="F681" t="s">
        <v>57</v>
      </c>
      <c r="G681" t="s">
        <v>84</v>
      </c>
      <c r="H681" t="s">
        <v>51</v>
      </c>
      <c r="I681" t="s">
        <v>37</v>
      </c>
      <c r="J681" t="s">
        <v>38</v>
      </c>
      <c r="K681" s="1"/>
      <c r="L681" t="s">
        <v>38</v>
      </c>
      <c r="M681" t="s">
        <v>37</v>
      </c>
      <c r="O681" t="s">
        <v>38</v>
      </c>
      <c r="T681" t="str">
        <f>IF(RecruitmentTable[[#This Row],[Final Status]]="In process","Screening",IF(RecruitmentTable[[#This Row],[Final Status]]="Selected","Offer","Rejected"))</f>
        <v>Rejected</v>
      </c>
      <c r="U681">
        <f>IF(RecruitmentTable[[#This Row],[Final Status]]="Selected",1,0)</f>
        <v>0</v>
      </c>
    </row>
    <row r="682" spans="1:21" x14ac:dyDescent="0.25">
      <c r="A682" t="s">
        <v>1000</v>
      </c>
      <c r="B682" t="s">
        <v>1001</v>
      </c>
      <c r="C682" s="1">
        <v>46188</v>
      </c>
      <c r="D682" t="s">
        <v>41</v>
      </c>
      <c r="E682" t="s">
        <v>42</v>
      </c>
      <c r="F682" t="s">
        <v>50</v>
      </c>
      <c r="G682" t="s">
        <v>36</v>
      </c>
      <c r="H682" t="s">
        <v>44</v>
      </c>
      <c r="I682" t="s">
        <v>26</v>
      </c>
      <c r="J682" t="s">
        <v>27</v>
      </c>
      <c r="K682" s="1">
        <v>46197</v>
      </c>
      <c r="L682" t="s">
        <v>28</v>
      </c>
      <c r="M682" t="s">
        <v>29</v>
      </c>
      <c r="O682" t="s">
        <v>38</v>
      </c>
      <c r="Q682">
        <v>9</v>
      </c>
      <c r="T682" t="str">
        <f>IF(RecruitmentTable[[#This Row],[Final Status]]="In process","Screening",IF(RecruitmentTable[[#This Row],[Final Status]]="Selected","Offer","Rejected"))</f>
        <v>Offer</v>
      </c>
      <c r="U682">
        <f>IF(RecruitmentTable[[#This Row],[Final Status]]="Selected",1,0)</f>
        <v>1</v>
      </c>
    </row>
    <row r="683" spans="1:21" x14ac:dyDescent="0.25">
      <c r="A683" t="s">
        <v>1002</v>
      </c>
      <c r="B683" t="s">
        <v>374</v>
      </c>
      <c r="C683" s="1">
        <v>46162</v>
      </c>
      <c r="D683" t="s">
        <v>65</v>
      </c>
      <c r="E683" t="s">
        <v>42</v>
      </c>
      <c r="F683" t="s">
        <v>57</v>
      </c>
      <c r="G683" t="s">
        <v>36</v>
      </c>
      <c r="H683" t="s">
        <v>51</v>
      </c>
      <c r="I683" t="s">
        <v>37</v>
      </c>
      <c r="J683" t="s">
        <v>38</v>
      </c>
      <c r="K683" s="1"/>
      <c r="L683" t="s">
        <v>38</v>
      </c>
      <c r="M683" t="s">
        <v>37</v>
      </c>
      <c r="O683" t="s">
        <v>38</v>
      </c>
      <c r="T683" t="str">
        <f>IF(RecruitmentTable[[#This Row],[Final Status]]="In process","Screening",IF(RecruitmentTable[[#This Row],[Final Status]]="Selected","Offer","Rejected"))</f>
        <v>Rejected</v>
      </c>
      <c r="U683">
        <f>IF(RecruitmentTable[[#This Row],[Final Status]]="Selected",1,0)</f>
        <v>0</v>
      </c>
    </row>
    <row r="684" spans="1:21" x14ac:dyDescent="0.25">
      <c r="A684" t="s">
        <v>1003</v>
      </c>
      <c r="B684" t="s">
        <v>341</v>
      </c>
      <c r="C684" s="1">
        <v>46205</v>
      </c>
      <c r="D684" t="s">
        <v>56</v>
      </c>
      <c r="E684" t="s">
        <v>34</v>
      </c>
      <c r="F684" t="s">
        <v>43</v>
      </c>
      <c r="G684" t="s">
        <v>24</v>
      </c>
      <c r="H684" t="s">
        <v>25</v>
      </c>
      <c r="I684" t="s">
        <v>37</v>
      </c>
      <c r="J684" t="s">
        <v>38</v>
      </c>
      <c r="K684" s="1"/>
      <c r="L684" t="s">
        <v>38</v>
      </c>
      <c r="M684" t="s">
        <v>37</v>
      </c>
      <c r="O684" t="s">
        <v>38</v>
      </c>
      <c r="T684" t="str">
        <f>IF(RecruitmentTable[[#This Row],[Final Status]]="In process","Screening",IF(RecruitmentTable[[#This Row],[Final Status]]="Selected","Offer","Rejected"))</f>
        <v>Rejected</v>
      </c>
      <c r="U684">
        <f>IF(RecruitmentTable[[#This Row],[Final Status]]="Selected",1,0)</f>
        <v>0</v>
      </c>
    </row>
    <row r="685" spans="1:21" x14ac:dyDescent="0.25">
      <c r="A685" t="s">
        <v>1004</v>
      </c>
      <c r="B685" t="s">
        <v>831</v>
      </c>
      <c r="C685" s="1">
        <v>46252</v>
      </c>
      <c r="D685" t="s">
        <v>83</v>
      </c>
      <c r="E685" t="s">
        <v>34</v>
      </c>
      <c r="F685" t="s">
        <v>23</v>
      </c>
      <c r="G685" t="s">
        <v>24</v>
      </c>
      <c r="H685" t="s">
        <v>72</v>
      </c>
      <c r="I685" t="s">
        <v>37</v>
      </c>
      <c r="J685" t="s">
        <v>38</v>
      </c>
      <c r="K685" s="1"/>
      <c r="L685" t="s">
        <v>38</v>
      </c>
      <c r="M685" t="s">
        <v>37</v>
      </c>
      <c r="O685" t="s">
        <v>38</v>
      </c>
      <c r="T685" t="str">
        <f>IF(RecruitmentTable[[#This Row],[Final Status]]="In process","Screening",IF(RecruitmentTable[[#This Row],[Final Status]]="Selected","Offer","Rejected"))</f>
        <v>Rejected</v>
      </c>
      <c r="U685">
        <f>IF(RecruitmentTable[[#This Row],[Final Status]]="Selected",1,0)</f>
        <v>0</v>
      </c>
    </row>
    <row r="686" spans="1:21" x14ac:dyDescent="0.25">
      <c r="A686" t="s">
        <v>1005</v>
      </c>
      <c r="B686" t="s">
        <v>169</v>
      </c>
      <c r="C686" s="1">
        <v>46155</v>
      </c>
      <c r="D686" t="s">
        <v>33</v>
      </c>
      <c r="E686" t="s">
        <v>34</v>
      </c>
      <c r="F686" t="s">
        <v>35</v>
      </c>
      <c r="G686" t="s">
        <v>84</v>
      </c>
      <c r="H686" t="s">
        <v>72</v>
      </c>
      <c r="I686" t="s">
        <v>37</v>
      </c>
      <c r="J686" t="s">
        <v>38</v>
      </c>
      <c r="K686" s="1"/>
      <c r="L686" t="s">
        <v>38</v>
      </c>
      <c r="M686" t="s">
        <v>37</v>
      </c>
      <c r="O686" t="s">
        <v>38</v>
      </c>
      <c r="T686" t="str">
        <f>IF(RecruitmentTable[[#This Row],[Final Status]]="In process","Screening",IF(RecruitmentTable[[#This Row],[Final Status]]="Selected","Offer","Rejected"))</f>
        <v>Rejected</v>
      </c>
      <c r="U686">
        <f>IF(RecruitmentTable[[#This Row],[Final Status]]="Selected",1,0)</f>
        <v>0</v>
      </c>
    </row>
    <row r="687" spans="1:21" x14ac:dyDescent="0.25">
      <c r="A687" t="s">
        <v>1006</v>
      </c>
      <c r="B687" t="s">
        <v>556</v>
      </c>
      <c r="C687" s="1">
        <v>46152</v>
      </c>
      <c r="D687" t="s">
        <v>41</v>
      </c>
      <c r="E687" t="s">
        <v>42</v>
      </c>
      <c r="F687" t="s">
        <v>57</v>
      </c>
      <c r="G687" t="s">
        <v>84</v>
      </c>
      <c r="H687" t="s">
        <v>44</v>
      </c>
      <c r="I687" t="s">
        <v>37</v>
      </c>
      <c r="J687" t="s">
        <v>38</v>
      </c>
      <c r="K687" s="1"/>
      <c r="L687" t="s">
        <v>38</v>
      </c>
      <c r="M687" t="s">
        <v>37</v>
      </c>
      <c r="O687" t="s">
        <v>38</v>
      </c>
      <c r="T687" t="str">
        <f>IF(RecruitmentTable[[#This Row],[Final Status]]="In process","Screening",IF(RecruitmentTable[[#This Row],[Final Status]]="Selected","Offer","Rejected"))</f>
        <v>Rejected</v>
      </c>
      <c r="U687">
        <f>IF(RecruitmentTable[[#This Row],[Final Status]]="Selected",1,0)</f>
        <v>0</v>
      </c>
    </row>
    <row r="688" spans="1:21" x14ac:dyDescent="0.25">
      <c r="A688" t="s">
        <v>1007</v>
      </c>
      <c r="B688" t="s">
        <v>1008</v>
      </c>
      <c r="C688" s="1">
        <v>46165</v>
      </c>
      <c r="D688" t="s">
        <v>83</v>
      </c>
      <c r="E688" t="s">
        <v>34</v>
      </c>
      <c r="F688" t="s">
        <v>57</v>
      </c>
      <c r="G688" t="s">
        <v>24</v>
      </c>
      <c r="H688" t="s">
        <v>51</v>
      </c>
      <c r="I688" t="s">
        <v>26</v>
      </c>
      <c r="J688" t="s">
        <v>38</v>
      </c>
      <c r="K688" s="1"/>
      <c r="L688" t="s">
        <v>58</v>
      </c>
      <c r="M688" t="s">
        <v>59</v>
      </c>
      <c r="O688" t="s">
        <v>38</v>
      </c>
      <c r="T688" t="str">
        <f>IF(RecruitmentTable[[#This Row],[Final Status]]="In process","Screening",IF(RecruitmentTable[[#This Row],[Final Status]]="Selected","Offer","Rejected"))</f>
        <v>Screening</v>
      </c>
      <c r="U688">
        <f>IF(RecruitmentTable[[#This Row],[Final Status]]="Selected",1,0)</f>
        <v>0</v>
      </c>
    </row>
    <row r="689" spans="1:21" x14ac:dyDescent="0.25">
      <c r="A689" t="s">
        <v>1009</v>
      </c>
      <c r="B689" t="s">
        <v>704</v>
      </c>
      <c r="C689" s="1">
        <v>46174</v>
      </c>
      <c r="D689" t="s">
        <v>41</v>
      </c>
      <c r="E689" t="s">
        <v>42</v>
      </c>
      <c r="F689" t="s">
        <v>23</v>
      </c>
      <c r="G689" t="s">
        <v>71</v>
      </c>
      <c r="H689" t="s">
        <v>51</v>
      </c>
      <c r="I689" t="s">
        <v>37</v>
      </c>
      <c r="J689" t="s">
        <v>38</v>
      </c>
      <c r="K689" s="1"/>
      <c r="L689" t="s">
        <v>38</v>
      </c>
      <c r="M689" t="s">
        <v>37</v>
      </c>
      <c r="O689" t="s">
        <v>38</v>
      </c>
      <c r="T689" t="str">
        <f>IF(RecruitmentTable[[#This Row],[Final Status]]="In process","Screening",IF(RecruitmentTable[[#This Row],[Final Status]]="Selected","Offer","Rejected"))</f>
        <v>Rejected</v>
      </c>
      <c r="U689">
        <f>IF(RecruitmentTable[[#This Row],[Final Status]]="Selected",1,0)</f>
        <v>0</v>
      </c>
    </row>
    <row r="690" spans="1:21" x14ac:dyDescent="0.25">
      <c r="A690" t="s">
        <v>1010</v>
      </c>
      <c r="B690" t="s">
        <v>424</v>
      </c>
      <c r="C690" s="1">
        <v>46109</v>
      </c>
      <c r="D690" t="s">
        <v>41</v>
      </c>
      <c r="E690" t="s">
        <v>42</v>
      </c>
      <c r="F690" t="s">
        <v>23</v>
      </c>
      <c r="G690" t="s">
        <v>24</v>
      </c>
      <c r="H690" t="s">
        <v>62</v>
      </c>
      <c r="I690" t="s">
        <v>26</v>
      </c>
      <c r="J690" t="s">
        <v>38</v>
      </c>
      <c r="K690" s="1"/>
      <c r="L690" t="s">
        <v>58</v>
      </c>
      <c r="M690" t="s">
        <v>59</v>
      </c>
      <c r="O690" t="s">
        <v>38</v>
      </c>
      <c r="T690" t="str">
        <f>IF(RecruitmentTable[[#This Row],[Final Status]]="In process","Screening",IF(RecruitmentTable[[#This Row],[Final Status]]="Selected","Offer","Rejected"))</f>
        <v>Screening</v>
      </c>
      <c r="U690">
        <f>IF(RecruitmentTable[[#This Row],[Final Status]]="Selected",1,0)</f>
        <v>0</v>
      </c>
    </row>
    <row r="691" spans="1:21" x14ac:dyDescent="0.25">
      <c r="A691" t="s">
        <v>1011</v>
      </c>
      <c r="B691" t="s">
        <v>20</v>
      </c>
      <c r="C691" s="1">
        <v>46039</v>
      </c>
      <c r="D691" t="s">
        <v>33</v>
      </c>
      <c r="E691" t="s">
        <v>34</v>
      </c>
      <c r="F691" t="s">
        <v>100</v>
      </c>
      <c r="G691" t="s">
        <v>24</v>
      </c>
      <c r="H691" t="s">
        <v>44</v>
      </c>
      <c r="I691" t="s">
        <v>37</v>
      </c>
      <c r="J691" t="s">
        <v>38</v>
      </c>
      <c r="K691" s="1"/>
      <c r="L691" t="s">
        <v>38</v>
      </c>
      <c r="M691" t="s">
        <v>37</v>
      </c>
      <c r="O691" t="s">
        <v>38</v>
      </c>
      <c r="T691" t="str">
        <f>IF(RecruitmentTable[[#This Row],[Final Status]]="In process","Screening",IF(RecruitmentTable[[#This Row],[Final Status]]="Selected","Offer","Rejected"))</f>
        <v>Rejected</v>
      </c>
      <c r="U691">
        <f>IF(RecruitmentTable[[#This Row],[Final Status]]="Selected",1,0)</f>
        <v>0</v>
      </c>
    </row>
    <row r="692" spans="1:21" x14ac:dyDescent="0.25">
      <c r="A692" t="s">
        <v>1012</v>
      </c>
      <c r="B692" t="s">
        <v>876</v>
      </c>
      <c r="C692" s="1">
        <v>46236</v>
      </c>
      <c r="D692" t="s">
        <v>33</v>
      </c>
      <c r="E692" t="s">
        <v>34</v>
      </c>
      <c r="F692" t="s">
        <v>100</v>
      </c>
      <c r="G692" t="s">
        <v>24</v>
      </c>
      <c r="H692" t="s">
        <v>25</v>
      </c>
      <c r="I692" t="s">
        <v>26</v>
      </c>
      <c r="J692" t="s">
        <v>27</v>
      </c>
      <c r="K692" s="1">
        <v>46240</v>
      </c>
      <c r="L692" t="s">
        <v>28</v>
      </c>
      <c r="M692" t="s">
        <v>37</v>
      </c>
      <c r="O692" t="s">
        <v>38</v>
      </c>
      <c r="Q692">
        <v>4</v>
      </c>
      <c r="T692" t="str">
        <f>IF(RecruitmentTable[[#This Row],[Final Status]]="In process","Screening",IF(RecruitmentTable[[#This Row],[Final Status]]="Selected","Offer","Rejected"))</f>
        <v>Rejected</v>
      </c>
      <c r="U692">
        <f>IF(RecruitmentTable[[#This Row],[Final Status]]="Selected",1,0)</f>
        <v>0</v>
      </c>
    </row>
    <row r="693" spans="1:21" x14ac:dyDescent="0.25">
      <c r="A693" t="s">
        <v>1013</v>
      </c>
      <c r="B693" t="s">
        <v>289</v>
      </c>
      <c r="C693" s="1">
        <v>46196</v>
      </c>
      <c r="D693" t="s">
        <v>41</v>
      </c>
      <c r="E693" t="s">
        <v>42</v>
      </c>
      <c r="F693" t="s">
        <v>57</v>
      </c>
      <c r="G693" t="s">
        <v>66</v>
      </c>
      <c r="H693" t="s">
        <v>72</v>
      </c>
      <c r="I693" t="s">
        <v>26</v>
      </c>
      <c r="J693" t="s">
        <v>27</v>
      </c>
      <c r="K693" s="1">
        <v>46206</v>
      </c>
      <c r="L693" t="s">
        <v>28</v>
      </c>
      <c r="M693" t="s">
        <v>37</v>
      </c>
      <c r="O693" t="s">
        <v>38</v>
      </c>
      <c r="Q693">
        <v>10</v>
      </c>
      <c r="T693" t="str">
        <f>IF(RecruitmentTable[[#This Row],[Final Status]]="In process","Screening",IF(RecruitmentTable[[#This Row],[Final Status]]="Selected","Offer","Rejected"))</f>
        <v>Rejected</v>
      </c>
      <c r="U693">
        <f>IF(RecruitmentTable[[#This Row],[Final Status]]="Selected",1,0)</f>
        <v>0</v>
      </c>
    </row>
    <row r="694" spans="1:21" x14ac:dyDescent="0.25">
      <c r="A694" t="s">
        <v>1014</v>
      </c>
      <c r="B694" t="s">
        <v>817</v>
      </c>
      <c r="C694" s="1">
        <v>46080</v>
      </c>
      <c r="D694" t="s">
        <v>41</v>
      </c>
      <c r="E694" t="s">
        <v>42</v>
      </c>
      <c r="F694" t="s">
        <v>35</v>
      </c>
      <c r="G694" t="s">
        <v>36</v>
      </c>
      <c r="H694" t="s">
        <v>25</v>
      </c>
      <c r="I694" t="s">
        <v>26</v>
      </c>
      <c r="J694" t="s">
        <v>38</v>
      </c>
      <c r="K694" s="1"/>
      <c r="L694" t="s">
        <v>58</v>
      </c>
      <c r="M694" t="s">
        <v>59</v>
      </c>
      <c r="O694" t="s">
        <v>38</v>
      </c>
      <c r="T694" t="str">
        <f>IF(RecruitmentTable[[#This Row],[Final Status]]="In process","Screening",IF(RecruitmentTable[[#This Row],[Final Status]]="Selected","Offer","Rejected"))</f>
        <v>Screening</v>
      </c>
      <c r="U694">
        <f>IF(RecruitmentTable[[#This Row],[Final Status]]="Selected",1,0)</f>
        <v>0</v>
      </c>
    </row>
    <row r="695" spans="1:21" x14ac:dyDescent="0.25">
      <c r="A695" t="s">
        <v>1015</v>
      </c>
      <c r="B695" t="s">
        <v>332</v>
      </c>
      <c r="C695" s="1">
        <v>46048</v>
      </c>
      <c r="D695" t="s">
        <v>83</v>
      </c>
      <c r="E695" t="s">
        <v>34</v>
      </c>
      <c r="F695" t="s">
        <v>50</v>
      </c>
      <c r="G695" t="s">
        <v>24</v>
      </c>
      <c r="H695" t="s">
        <v>62</v>
      </c>
      <c r="I695" t="s">
        <v>37</v>
      </c>
      <c r="J695" t="s">
        <v>38</v>
      </c>
      <c r="K695" s="1"/>
      <c r="L695" t="s">
        <v>38</v>
      </c>
      <c r="M695" t="s">
        <v>37</v>
      </c>
      <c r="O695" t="s">
        <v>38</v>
      </c>
      <c r="T695" t="str">
        <f>IF(RecruitmentTable[[#This Row],[Final Status]]="In process","Screening",IF(RecruitmentTable[[#This Row],[Final Status]]="Selected","Offer","Rejected"))</f>
        <v>Rejected</v>
      </c>
      <c r="U695">
        <f>IF(RecruitmentTable[[#This Row],[Final Status]]="Selected",1,0)</f>
        <v>0</v>
      </c>
    </row>
    <row r="696" spans="1:21" x14ac:dyDescent="0.25">
      <c r="A696" t="s">
        <v>1016</v>
      </c>
      <c r="B696" t="s">
        <v>74</v>
      </c>
      <c r="C696" s="1">
        <v>46070</v>
      </c>
      <c r="D696" t="s">
        <v>41</v>
      </c>
      <c r="E696" t="s">
        <v>42</v>
      </c>
      <c r="F696" t="s">
        <v>35</v>
      </c>
      <c r="G696" t="s">
        <v>66</v>
      </c>
      <c r="H696" t="s">
        <v>25</v>
      </c>
      <c r="I696" t="s">
        <v>37</v>
      </c>
      <c r="J696" t="s">
        <v>38</v>
      </c>
      <c r="K696" s="1"/>
      <c r="L696" t="s">
        <v>38</v>
      </c>
      <c r="M696" t="s">
        <v>37</v>
      </c>
      <c r="O696" t="s">
        <v>38</v>
      </c>
      <c r="T696" t="str">
        <f>IF(RecruitmentTable[[#This Row],[Final Status]]="In process","Screening",IF(RecruitmentTable[[#This Row],[Final Status]]="Selected","Offer","Rejected"))</f>
        <v>Rejected</v>
      </c>
      <c r="U696">
        <f>IF(RecruitmentTable[[#This Row],[Final Status]]="Selected",1,0)</f>
        <v>0</v>
      </c>
    </row>
    <row r="697" spans="1:21" x14ac:dyDescent="0.25">
      <c r="A697" t="s">
        <v>1017</v>
      </c>
      <c r="B697" t="s">
        <v>505</v>
      </c>
      <c r="C697" s="1">
        <v>46207</v>
      </c>
      <c r="D697" t="s">
        <v>21</v>
      </c>
      <c r="E697" t="s">
        <v>22</v>
      </c>
      <c r="F697" t="s">
        <v>100</v>
      </c>
      <c r="G697" t="s">
        <v>47</v>
      </c>
      <c r="H697" t="s">
        <v>25</v>
      </c>
      <c r="I697" t="s">
        <v>26</v>
      </c>
      <c r="J697" t="s">
        <v>38</v>
      </c>
      <c r="K697" s="1"/>
      <c r="L697" t="s">
        <v>58</v>
      </c>
      <c r="M697" t="s">
        <v>59</v>
      </c>
      <c r="O697" t="s">
        <v>38</v>
      </c>
      <c r="T697" t="str">
        <f>IF(RecruitmentTable[[#This Row],[Final Status]]="In process","Screening",IF(RecruitmentTable[[#This Row],[Final Status]]="Selected","Offer","Rejected"))</f>
        <v>Screening</v>
      </c>
      <c r="U697">
        <f>IF(RecruitmentTable[[#This Row],[Final Status]]="Selected",1,0)</f>
        <v>0</v>
      </c>
    </row>
    <row r="698" spans="1:21" x14ac:dyDescent="0.25">
      <c r="A698" t="s">
        <v>1018</v>
      </c>
      <c r="B698" t="s">
        <v>32</v>
      </c>
      <c r="C698" s="1">
        <v>46234</v>
      </c>
      <c r="D698" t="s">
        <v>65</v>
      </c>
      <c r="E698" t="s">
        <v>42</v>
      </c>
      <c r="F698" t="s">
        <v>43</v>
      </c>
      <c r="G698" t="s">
        <v>24</v>
      </c>
      <c r="H698" t="s">
        <v>25</v>
      </c>
      <c r="I698" t="s">
        <v>26</v>
      </c>
      <c r="J698" t="s">
        <v>38</v>
      </c>
      <c r="K698" s="1"/>
      <c r="L698" t="s">
        <v>58</v>
      </c>
      <c r="M698" t="s">
        <v>59</v>
      </c>
      <c r="O698" t="s">
        <v>38</v>
      </c>
      <c r="T698" t="str">
        <f>IF(RecruitmentTable[[#This Row],[Final Status]]="In process","Screening",IF(RecruitmentTable[[#This Row],[Final Status]]="Selected","Offer","Rejected"))</f>
        <v>Screening</v>
      </c>
      <c r="U698">
        <f>IF(RecruitmentTable[[#This Row],[Final Status]]="Selected",1,0)</f>
        <v>0</v>
      </c>
    </row>
    <row r="699" spans="1:21" x14ac:dyDescent="0.25">
      <c r="A699" t="s">
        <v>1019</v>
      </c>
      <c r="B699" t="s">
        <v>273</v>
      </c>
      <c r="C699" s="1">
        <v>46194</v>
      </c>
      <c r="D699" t="s">
        <v>41</v>
      </c>
      <c r="E699" t="s">
        <v>42</v>
      </c>
      <c r="F699" t="s">
        <v>57</v>
      </c>
      <c r="G699" t="s">
        <v>71</v>
      </c>
      <c r="H699" t="s">
        <v>25</v>
      </c>
      <c r="I699" t="s">
        <v>37</v>
      </c>
      <c r="J699" t="s">
        <v>38</v>
      </c>
      <c r="K699" s="1"/>
      <c r="L699" t="s">
        <v>38</v>
      </c>
      <c r="M699" t="s">
        <v>37</v>
      </c>
      <c r="O699" t="s">
        <v>38</v>
      </c>
      <c r="T699" t="str">
        <f>IF(RecruitmentTable[[#This Row],[Final Status]]="In process","Screening",IF(RecruitmentTable[[#This Row],[Final Status]]="Selected","Offer","Rejected"))</f>
        <v>Rejected</v>
      </c>
      <c r="U699">
        <f>IF(RecruitmentTable[[#This Row],[Final Status]]="Selected",1,0)</f>
        <v>0</v>
      </c>
    </row>
    <row r="700" spans="1:21" x14ac:dyDescent="0.25">
      <c r="A700" t="s">
        <v>1020</v>
      </c>
      <c r="B700" t="s">
        <v>103</v>
      </c>
      <c r="C700" s="1">
        <v>46236</v>
      </c>
      <c r="D700" t="s">
        <v>56</v>
      </c>
      <c r="E700" t="s">
        <v>34</v>
      </c>
      <c r="F700" t="s">
        <v>23</v>
      </c>
      <c r="G700" t="s">
        <v>71</v>
      </c>
      <c r="H700" t="s">
        <v>51</v>
      </c>
      <c r="I700" t="s">
        <v>37</v>
      </c>
      <c r="J700" t="s">
        <v>38</v>
      </c>
      <c r="K700" s="1"/>
      <c r="L700" t="s">
        <v>38</v>
      </c>
      <c r="M700" t="s">
        <v>37</v>
      </c>
      <c r="O700" t="s">
        <v>38</v>
      </c>
      <c r="T700" t="str">
        <f>IF(RecruitmentTable[[#This Row],[Final Status]]="In process","Screening",IF(RecruitmentTable[[#This Row],[Final Status]]="Selected","Offer","Rejected"))</f>
        <v>Rejected</v>
      </c>
      <c r="U700">
        <f>IF(RecruitmentTable[[#This Row],[Final Status]]="Selected",1,0)</f>
        <v>0</v>
      </c>
    </row>
    <row r="701" spans="1:21" x14ac:dyDescent="0.25">
      <c r="A701" t="s">
        <v>1021</v>
      </c>
      <c r="B701" t="s">
        <v>783</v>
      </c>
      <c r="C701" s="1">
        <v>46038</v>
      </c>
      <c r="D701" t="s">
        <v>83</v>
      </c>
      <c r="E701" t="s">
        <v>34</v>
      </c>
      <c r="F701" t="s">
        <v>35</v>
      </c>
      <c r="G701" t="s">
        <v>24</v>
      </c>
      <c r="H701" t="s">
        <v>25</v>
      </c>
      <c r="I701" t="s">
        <v>26</v>
      </c>
      <c r="J701" t="s">
        <v>27</v>
      </c>
      <c r="K701" s="1">
        <v>46042</v>
      </c>
      <c r="L701" t="s">
        <v>28</v>
      </c>
      <c r="M701" t="s">
        <v>37</v>
      </c>
      <c r="O701" t="s">
        <v>38</v>
      </c>
      <c r="Q701">
        <v>4</v>
      </c>
      <c r="T701" t="str">
        <f>IF(RecruitmentTable[[#This Row],[Final Status]]="In process","Screening",IF(RecruitmentTable[[#This Row],[Final Status]]="Selected","Offer","Rejected"))</f>
        <v>Rejected</v>
      </c>
      <c r="U701">
        <f>IF(RecruitmentTable[[#This Row],[Final Status]]="Selected",1,0)</f>
        <v>0</v>
      </c>
    </row>
    <row r="702" spans="1:21" x14ac:dyDescent="0.25">
      <c r="A702" t="s">
        <v>1022</v>
      </c>
      <c r="B702" t="s">
        <v>500</v>
      </c>
      <c r="C702" s="1">
        <v>46208</v>
      </c>
      <c r="D702" t="s">
        <v>65</v>
      </c>
      <c r="E702" t="s">
        <v>42</v>
      </c>
      <c r="F702" t="s">
        <v>23</v>
      </c>
      <c r="G702" t="s">
        <v>84</v>
      </c>
      <c r="H702" t="s">
        <v>25</v>
      </c>
      <c r="I702" t="s">
        <v>37</v>
      </c>
      <c r="J702" t="s">
        <v>38</v>
      </c>
      <c r="K702" s="1"/>
      <c r="L702" t="s">
        <v>38</v>
      </c>
      <c r="M702" t="s">
        <v>37</v>
      </c>
      <c r="O702" t="s">
        <v>38</v>
      </c>
      <c r="T702" t="str">
        <f>IF(RecruitmentTable[[#This Row],[Final Status]]="In process","Screening",IF(RecruitmentTable[[#This Row],[Final Status]]="Selected","Offer","Rejected"))</f>
        <v>Rejected</v>
      </c>
      <c r="U702">
        <f>IF(RecruitmentTable[[#This Row],[Final Status]]="Selected",1,0)</f>
        <v>0</v>
      </c>
    </row>
    <row r="703" spans="1:21" x14ac:dyDescent="0.25">
      <c r="A703" t="s">
        <v>1023</v>
      </c>
      <c r="B703" t="s">
        <v>305</v>
      </c>
      <c r="C703" s="1">
        <v>46253</v>
      </c>
      <c r="D703" t="s">
        <v>65</v>
      </c>
      <c r="E703" t="s">
        <v>42</v>
      </c>
      <c r="F703" t="s">
        <v>100</v>
      </c>
      <c r="G703" t="s">
        <v>36</v>
      </c>
      <c r="H703" t="s">
        <v>72</v>
      </c>
      <c r="I703" t="s">
        <v>37</v>
      </c>
      <c r="J703" t="s">
        <v>38</v>
      </c>
      <c r="K703" s="1"/>
      <c r="L703" t="s">
        <v>38</v>
      </c>
      <c r="M703" t="s">
        <v>37</v>
      </c>
      <c r="O703" t="s">
        <v>38</v>
      </c>
      <c r="T703" t="str">
        <f>IF(RecruitmentTable[[#This Row],[Final Status]]="In process","Screening",IF(RecruitmentTable[[#This Row],[Final Status]]="Selected","Offer","Rejected"))</f>
        <v>Rejected</v>
      </c>
      <c r="U703">
        <f>IF(RecruitmentTable[[#This Row],[Final Status]]="Selected",1,0)</f>
        <v>0</v>
      </c>
    </row>
    <row r="704" spans="1:21" x14ac:dyDescent="0.25">
      <c r="A704" t="s">
        <v>1024</v>
      </c>
      <c r="B704" t="s">
        <v>143</v>
      </c>
      <c r="C704" s="1">
        <v>46142</v>
      </c>
      <c r="D704" t="s">
        <v>83</v>
      </c>
      <c r="E704" t="s">
        <v>34</v>
      </c>
      <c r="F704" t="s">
        <v>57</v>
      </c>
      <c r="G704" t="s">
        <v>84</v>
      </c>
      <c r="H704" t="s">
        <v>51</v>
      </c>
      <c r="I704" t="s">
        <v>37</v>
      </c>
      <c r="J704" t="s">
        <v>38</v>
      </c>
      <c r="K704" s="1"/>
      <c r="L704" t="s">
        <v>38</v>
      </c>
      <c r="M704" t="s">
        <v>37</v>
      </c>
      <c r="O704" t="s">
        <v>38</v>
      </c>
      <c r="T704" t="str">
        <f>IF(RecruitmentTable[[#This Row],[Final Status]]="In process","Screening",IF(RecruitmentTable[[#This Row],[Final Status]]="Selected","Offer","Rejected"))</f>
        <v>Rejected</v>
      </c>
      <c r="U704">
        <f>IF(RecruitmentTable[[#This Row],[Final Status]]="Selected",1,0)</f>
        <v>0</v>
      </c>
    </row>
    <row r="705" spans="1:21" x14ac:dyDescent="0.25">
      <c r="A705" t="s">
        <v>1025</v>
      </c>
      <c r="B705" t="s">
        <v>670</v>
      </c>
      <c r="C705" s="1">
        <v>46240</v>
      </c>
      <c r="D705" t="s">
        <v>41</v>
      </c>
      <c r="E705" t="s">
        <v>42</v>
      </c>
      <c r="F705" t="s">
        <v>57</v>
      </c>
      <c r="G705" t="s">
        <v>84</v>
      </c>
      <c r="H705" t="s">
        <v>62</v>
      </c>
      <c r="I705" t="s">
        <v>26</v>
      </c>
      <c r="J705" t="s">
        <v>27</v>
      </c>
      <c r="K705" s="1">
        <v>46244</v>
      </c>
      <c r="L705" t="s">
        <v>28</v>
      </c>
      <c r="M705" t="s">
        <v>37</v>
      </c>
      <c r="O705" t="s">
        <v>38</v>
      </c>
      <c r="Q705">
        <v>4</v>
      </c>
      <c r="T705" t="str">
        <f>IF(RecruitmentTable[[#This Row],[Final Status]]="In process","Screening",IF(RecruitmentTable[[#This Row],[Final Status]]="Selected","Offer","Rejected"))</f>
        <v>Rejected</v>
      </c>
      <c r="U705">
        <f>IF(RecruitmentTable[[#This Row],[Final Status]]="Selected",1,0)</f>
        <v>0</v>
      </c>
    </row>
    <row r="706" spans="1:21" x14ac:dyDescent="0.25">
      <c r="A706" t="s">
        <v>1026</v>
      </c>
      <c r="B706" t="s">
        <v>817</v>
      </c>
      <c r="C706" s="1">
        <v>46250</v>
      </c>
      <c r="D706" t="s">
        <v>56</v>
      </c>
      <c r="E706" t="s">
        <v>34</v>
      </c>
      <c r="F706" t="s">
        <v>35</v>
      </c>
      <c r="G706" t="s">
        <v>24</v>
      </c>
      <c r="H706" t="s">
        <v>62</v>
      </c>
      <c r="I706" t="s">
        <v>37</v>
      </c>
      <c r="J706" t="s">
        <v>38</v>
      </c>
      <c r="K706" s="1"/>
      <c r="L706" t="s">
        <v>38</v>
      </c>
      <c r="M706" t="s">
        <v>37</v>
      </c>
      <c r="O706" t="s">
        <v>38</v>
      </c>
      <c r="T706" t="str">
        <f>IF(RecruitmentTable[[#This Row],[Final Status]]="In process","Screening",IF(RecruitmentTable[[#This Row],[Final Status]]="Selected","Offer","Rejected"))</f>
        <v>Rejected</v>
      </c>
      <c r="U706">
        <f>IF(RecruitmentTable[[#This Row],[Final Status]]="Selected",1,0)</f>
        <v>0</v>
      </c>
    </row>
    <row r="707" spans="1:21" x14ac:dyDescent="0.25">
      <c r="A707" t="s">
        <v>1027</v>
      </c>
      <c r="B707" t="s">
        <v>165</v>
      </c>
      <c r="C707" s="1">
        <v>46114</v>
      </c>
      <c r="D707" t="s">
        <v>65</v>
      </c>
      <c r="E707" t="s">
        <v>42</v>
      </c>
      <c r="F707" t="s">
        <v>35</v>
      </c>
      <c r="G707" t="s">
        <v>24</v>
      </c>
      <c r="H707" t="s">
        <v>72</v>
      </c>
      <c r="I707" t="s">
        <v>37</v>
      </c>
      <c r="J707" t="s">
        <v>38</v>
      </c>
      <c r="K707" s="1"/>
      <c r="L707" t="s">
        <v>38</v>
      </c>
      <c r="M707" t="s">
        <v>37</v>
      </c>
      <c r="O707" t="s">
        <v>38</v>
      </c>
      <c r="T707" t="str">
        <f>IF(RecruitmentTable[[#This Row],[Final Status]]="In process","Screening",IF(RecruitmentTable[[#This Row],[Final Status]]="Selected","Offer","Rejected"))</f>
        <v>Rejected</v>
      </c>
      <c r="U707">
        <f>IF(RecruitmentTable[[#This Row],[Final Status]]="Selected",1,0)</f>
        <v>0</v>
      </c>
    </row>
    <row r="708" spans="1:21" x14ac:dyDescent="0.25">
      <c r="A708" t="s">
        <v>1028</v>
      </c>
      <c r="B708" t="s">
        <v>244</v>
      </c>
      <c r="C708" s="1">
        <v>46248</v>
      </c>
      <c r="D708" t="s">
        <v>65</v>
      </c>
      <c r="E708" t="s">
        <v>42</v>
      </c>
      <c r="F708" t="s">
        <v>23</v>
      </c>
      <c r="G708" t="s">
        <v>36</v>
      </c>
      <c r="H708" t="s">
        <v>51</v>
      </c>
      <c r="I708" t="s">
        <v>37</v>
      </c>
      <c r="J708" t="s">
        <v>38</v>
      </c>
      <c r="K708" s="1"/>
      <c r="L708" t="s">
        <v>38</v>
      </c>
      <c r="M708" t="s">
        <v>37</v>
      </c>
      <c r="O708" t="s">
        <v>38</v>
      </c>
      <c r="T708" t="str">
        <f>IF(RecruitmentTable[[#This Row],[Final Status]]="In process","Screening",IF(RecruitmentTable[[#This Row],[Final Status]]="Selected","Offer","Rejected"))</f>
        <v>Rejected</v>
      </c>
      <c r="U708">
        <f>IF(RecruitmentTable[[#This Row],[Final Status]]="Selected",1,0)</f>
        <v>0</v>
      </c>
    </row>
    <row r="709" spans="1:21" x14ac:dyDescent="0.25">
      <c r="A709" t="s">
        <v>1029</v>
      </c>
      <c r="B709" t="s">
        <v>985</v>
      </c>
      <c r="C709" s="1">
        <v>46144</v>
      </c>
      <c r="D709" t="s">
        <v>83</v>
      </c>
      <c r="E709" t="s">
        <v>34</v>
      </c>
      <c r="F709" t="s">
        <v>57</v>
      </c>
      <c r="G709" t="s">
        <v>24</v>
      </c>
      <c r="H709" t="s">
        <v>72</v>
      </c>
      <c r="I709" t="s">
        <v>26</v>
      </c>
      <c r="J709" t="s">
        <v>27</v>
      </c>
      <c r="K709" s="1">
        <v>46158</v>
      </c>
      <c r="L709" t="s">
        <v>28</v>
      </c>
      <c r="M709" t="s">
        <v>29</v>
      </c>
      <c r="N709" s="1">
        <v>46160</v>
      </c>
      <c r="O709" t="s">
        <v>30</v>
      </c>
      <c r="P709" s="1">
        <v>46189</v>
      </c>
      <c r="Q709">
        <v>14</v>
      </c>
      <c r="R709">
        <v>2</v>
      </c>
      <c r="S709">
        <v>29</v>
      </c>
      <c r="T709" t="str">
        <f>IF(RecruitmentTable[[#This Row],[Final Status]]="In process","Screening",IF(RecruitmentTable[[#This Row],[Final Status]]="Selected","Offer","Rejected"))</f>
        <v>Offer</v>
      </c>
      <c r="U709">
        <f>IF(RecruitmentTable[[#This Row],[Final Status]]="Selected",1,0)</f>
        <v>1</v>
      </c>
    </row>
    <row r="710" spans="1:21" x14ac:dyDescent="0.25">
      <c r="A710" t="s">
        <v>1030</v>
      </c>
      <c r="B710" t="s">
        <v>598</v>
      </c>
      <c r="C710" s="1">
        <v>46059</v>
      </c>
      <c r="D710" t="s">
        <v>21</v>
      </c>
      <c r="E710" t="s">
        <v>22</v>
      </c>
      <c r="F710" t="s">
        <v>100</v>
      </c>
      <c r="G710" t="s">
        <v>36</v>
      </c>
      <c r="H710" t="s">
        <v>44</v>
      </c>
      <c r="I710" t="s">
        <v>37</v>
      </c>
      <c r="J710" t="s">
        <v>38</v>
      </c>
      <c r="K710" s="1"/>
      <c r="L710" t="s">
        <v>38</v>
      </c>
      <c r="M710" t="s">
        <v>37</v>
      </c>
      <c r="O710" t="s">
        <v>38</v>
      </c>
      <c r="T710" t="str">
        <f>IF(RecruitmentTable[[#This Row],[Final Status]]="In process","Screening",IF(RecruitmentTable[[#This Row],[Final Status]]="Selected","Offer","Rejected"))</f>
        <v>Rejected</v>
      </c>
      <c r="U710">
        <f>IF(RecruitmentTable[[#This Row],[Final Status]]="Selected",1,0)</f>
        <v>0</v>
      </c>
    </row>
    <row r="711" spans="1:21" x14ac:dyDescent="0.25">
      <c r="A711" t="s">
        <v>1031</v>
      </c>
      <c r="B711" t="s">
        <v>1032</v>
      </c>
      <c r="C711" s="1">
        <v>46075</v>
      </c>
      <c r="D711" t="s">
        <v>41</v>
      </c>
      <c r="E711" t="s">
        <v>42</v>
      </c>
      <c r="F711" t="s">
        <v>23</v>
      </c>
      <c r="G711" t="s">
        <v>84</v>
      </c>
      <c r="H711" t="s">
        <v>72</v>
      </c>
      <c r="I711" t="s">
        <v>37</v>
      </c>
      <c r="J711" t="s">
        <v>38</v>
      </c>
      <c r="K711" s="1"/>
      <c r="L711" t="s">
        <v>38</v>
      </c>
      <c r="M711" t="s">
        <v>37</v>
      </c>
      <c r="O711" t="s">
        <v>38</v>
      </c>
      <c r="T711" t="str">
        <f>IF(RecruitmentTable[[#This Row],[Final Status]]="In process","Screening",IF(RecruitmentTable[[#This Row],[Final Status]]="Selected","Offer","Rejected"))</f>
        <v>Rejected</v>
      </c>
      <c r="U711">
        <f>IF(RecruitmentTable[[#This Row],[Final Status]]="Selected",1,0)</f>
        <v>0</v>
      </c>
    </row>
    <row r="712" spans="1:21" x14ac:dyDescent="0.25">
      <c r="A712" t="s">
        <v>1033</v>
      </c>
      <c r="B712" t="s">
        <v>670</v>
      </c>
      <c r="C712" s="1">
        <v>46109</v>
      </c>
      <c r="D712" t="s">
        <v>41</v>
      </c>
      <c r="E712" t="s">
        <v>42</v>
      </c>
      <c r="F712" t="s">
        <v>50</v>
      </c>
      <c r="G712" t="s">
        <v>36</v>
      </c>
      <c r="H712" t="s">
        <v>25</v>
      </c>
      <c r="I712" t="s">
        <v>37</v>
      </c>
      <c r="J712" t="s">
        <v>38</v>
      </c>
      <c r="K712" s="1"/>
      <c r="L712" t="s">
        <v>38</v>
      </c>
      <c r="M712" t="s">
        <v>37</v>
      </c>
      <c r="O712" t="s">
        <v>38</v>
      </c>
      <c r="T712" t="str">
        <f>IF(RecruitmentTable[[#This Row],[Final Status]]="In process","Screening",IF(RecruitmentTable[[#This Row],[Final Status]]="Selected","Offer","Rejected"))</f>
        <v>Rejected</v>
      </c>
      <c r="U712">
        <f>IF(RecruitmentTable[[#This Row],[Final Status]]="Selected",1,0)</f>
        <v>0</v>
      </c>
    </row>
    <row r="713" spans="1:21" x14ac:dyDescent="0.25">
      <c r="A713" t="s">
        <v>1034</v>
      </c>
      <c r="B713" t="s">
        <v>92</v>
      </c>
      <c r="C713" s="1">
        <v>46152</v>
      </c>
      <c r="D713" t="s">
        <v>65</v>
      </c>
      <c r="E713" t="s">
        <v>42</v>
      </c>
      <c r="F713" t="s">
        <v>50</v>
      </c>
      <c r="G713" t="s">
        <v>36</v>
      </c>
      <c r="H713" t="s">
        <v>62</v>
      </c>
      <c r="I713" t="s">
        <v>37</v>
      </c>
      <c r="J713" t="s">
        <v>38</v>
      </c>
      <c r="K713" s="1"/>
      <c r="L713" t="s">
        <v>38</v>
      </c>
      <c r="M713" t="s">
        <v>37</v>
      </c>
      <c r="O713" t="s">
        <v>38</v>
      </c>
      <c r="T713" t="str">
        <f>IF(RecruitmentTable[[#This Row],[Final Status]]="In process","Screening",IF(RecruitmentTable[[#This Row],[Final Status]]="Selected","Offer","Rejected"))</f>
        <v>Rejected</v>
      </c>
      <c r="U713">
        <f>IF(RecruitmentTable[[#This Row],[Final Status]]="Selected",1,0)</f>
        <v>0</v>
      </c>
    </row>
    <row r="714" spans="1:21" x14ac:dyDescent="0.25">
      <c r="A714" t="s">
        <v>1035</v>
      </c>
      <c r="B714" t="s">
        <v>479</v>
      </c>
      <c r="C714" s="1">
        <v>46216</v>
      </c>
      <c r="D714" t="s">
        <v>41</v>
      </c>
      <c r="E714" t="s">
        <v>42</v>
      </c>
      <c r="F714" t="s">
        <v>23</v>
      </c>
      <c r="G714" t="s">
        <v>47</v>
      </c>
      <c r="H714" t="s">
        <v>51</v>
      </c>
      <c r="I714" t="s">
        <v>26</v>
      </c>
      <c r="J714" t="s">
        <v>27</v>
      </c>
      <c r="K714" s="1">
        <v>46230</v>
      </c>
      <c r="L714" t="s">
        <v>28</v>
      </c>
      <c r="M714" t="s">
        <v>37</v>
      </c>
      <c r="O714" t="s">
        <v>38</v>
      </c>
      <c r="Q714">
        <v>14</v>
      </c>
      <c r="T714" t="str">
        <f>IF(RecruitmentTable[[#This Row],[Final Status]]="In process","Screening",IF(RecruitmentTable[[#This Row],[Final Status]]="Selected","Offer","Rejected"))</f>
        <v>Rejected</v>
      </c>
      <c r="U714">
        <f>IF(RecruitmentTable[[#This Row],[Final Status]]="Selected",1,0)</f>
        <v>0</v>
      </c>
    </row>
    <row r="715" spans="1:21" x14ac:dyDescent="0.25">
      <c r="A715" t="s">
        <v>1036</v>
      </c>
      <c r="B715" t="s">
        <v>575</v>
      </c>
      <c r="C715" s="1">
        <v>46203</v>
      </c>
      <c r="D715" t="s">
        <v>21</v>
      </c>
      <c r="E715" t="s">
        <v>22</v>
      </c>
      <c r="F715" t="s">
        <v>50</v>
      </c>
      <c r="G715" t="s">
        <v>36</v>
      </c>
      <c r="H715" t="s">
        <v>72</v>
      </c>
      <c r="I715" t="s">
        <v>37</v>
      </c>
      <c r="J715" t="s">
        <v>38</v>
      </c>
      <c r="K715" s="1"/>
      <c r="L715" t="s">
        <v>38</v>
      </c>
      <c r="M715" t="s">
        <v>37</v>
      </c>
      <c r="O715" t="s">
        <v>38</v>
      </c>
      <c r="T715" t="str">
        <f>IF(RecruitmentTable[[#This Row],[Final Status]]="In process","Screening",IF(RecruitmentTable[[#This Row],[Final Status]]="Selected","Offer","Rejected"))</f>
        <v>Rejected</v>
      </c>
      <c r="U715">
        <f>IF(RecruitmentTable[[#This Row],[Final Status]]="Selected",1,0)</f>
        <v>0</v>
      </c>
    </row>
    <row r="716" spans="1:21" x14ac:dyDescent="0.25">
      <c r="A716" t="s">
        <v>1037</v>
      </c>
      <c r="B716" t="s">
        <v>123</v>
      </c>
      <c r="C716" s="1">
        <v>46233</v>
      </c>
      <c r="D716" t="s">
        <v>65</v>
      </c>
      <c r="E716" t="s">
        <v>42</v>
      </c>
      <c r="F716" t="s">
        <v>100</v>
      </c>
      <c r="G716" t="s">
        <v>36</v>
      </c>
      <c r="H716" t="s">
        <v>51</v>
      </c>
      <c r="I716" t="s">
        <v>37</v>
      </c>
      <c r="J716" t="s">
        <v>38</v>
      </c>
      <c r="K716" s="1"/>
      <c r="L716" t="s">
        <v>38</v>
      </c>
      <c r="M716" t="s">
        <v>37</v>
      </c>
      <c r="O716" t="s">
        <v>38</v>
      </c>
      <c r="T716" t="str">
        <f>IF(RecruitmentTable[[#This Row],[Final Status]]="In process","Screening",IF(RecruitmentTable[[#This Row],[Final Status]]="Selected","Offer","Rejected"))</f>
        <v>Rejected</v>
      </c>
      <c r="U716">
        <f>IF(RecruitmentTable[[#This Row],[Final Status]]="Selected",1,0)</f>
        <v>0</v>
      </c>
    </row>
    <row r="717" spans="1:21" x14ac:dyDescent="0.25">
      <c r="A717" t="s">
        <v>1038</v>
      </c>
      <c r="B717" t="s">
        <v>225</v>
      </c>
      <c r="C717" s="1">
        <v>46031</v>
      </c>
      <c r="D717" t="s">
        <v>41</v>
      </c>
      <c r="E717" t="s">
        <v>42</v>
      </c>
      <c r="F717" t="s">
        <v>50</v>
      </c>
      <c r="G717" t="s">
        <v>36</v>
      </c>
      <c r="H717" t="s">
        <v>51</v>
      </c>
      <c r="I717" t="s">
        <v>26</v>
      </c>
      <c r="J717" t="s">
        <v>27</v>
      </c>
      <c r="K717" s="1">
        <v>46040</v>
      </c>
      <c r="L717" t="s">
        <v>28</v>
      </c>
      <c r="M717" t="s">
        <v>29</v>
      </c>
      <c r="N717" s="1">
        <v>46047</v>
      </c>
      <c r="O717" t="s">
        <v>30</v>
      </c>
      <c r="P717" s="1">
        <v>46059</v>
      </c>
      <c r="Q717">
        <v>9</v>
      </c>
      <c r="R717">
        <v>7</v>
      </c>
      <c r="S717">
        <v>12</v>
      </c>
      <c r="T717" t="str">
        <f>IF(RecruitmentTable[[#This Row],[Final Status]]="In process","Screening",IF(RecruitmentTable[[#This Row],[Final Status]]="Selected","Offer","Rejected"))</f>
        <v>Offer</v>
      </c>
      <c r="U717">
        <f>IF(RecruitmentTable[[#This Row],[Final Status]]="Selected",1,0)</f>
        <v>1</v>
      </c>
    </row>
    <row r="718" spans="1:21" x14ac:dyDescent="0.25">
      <c r="A718" t="s">
        <v>1039</v>
      </c>
      <c r="B718" t="s">
        <v>1040</v>
      </c>
      <c r="C718" s="1">
        <v>46034</v>
      </c>
      <c r="D718" t="s">
        <v>41</v>
      </c>
      <c r="E718" t="s">
        <v>42</v>
      </c>
      <c r="F718" t="s">
        <v>35</v>
      </c>
      <c r="G718" t="s">
        <v>84</v>
      </c>
      <c r="H718" t="s">
        <v>72</v>
      </c>
      <c r="I718" t="s">
        <v>26</v>
      </c>
      <c r="J718" t="s">
        <v>27</v>
      </c>
      <c r="K718" s="1">
        <v>46051</v>
      </c>
      <c r="L718" t="s">
        <v>28</v>
      </c>
      <c r="M718" t="s">
        <v>37</v>
      </c>
      <c r="O718" t="s">
        <v>38</v>
      </c>
      <c r="Q718">
        <v>17</v>
      </c>
      <c r="T718" t="str">
        <f>IF(RecruitmentTable[[#This Row],[Final Status]]="In process","Screening",IF(RecruitmentTable[[#This Row],[Final Status]]="Selected","Offer","Rejected"))</f>
        <v>Rejected</v>
      </c>
      <c r="U718">
        <f>IF(RecruitmentTable[[#This Row],[Final Status]]="Selected",1,0)</f>
        <v>0</v>
      </c>
    </row>
    <row r="719" spans="1:21" x14ac:dyDescent="0.25">
      <c r="A719" t="s">
        <v>1041</v>
      </c>
      <c r="B719" t="s">
        <v>173</v>
      </c>
      <c r="C719" s="1">
        <v>46284</v>
      </c>
      <c r="D719" t="s">
        <v>56</v>
      </c>
      <c r="E719" t="s">
        <v>34</v>
      </c>
      <c r="F719" t="s">
        <v>57</v>
      </c>
      <c r="G719" t="s">
        <v>24</v>
      </c>
      <c r="H719" t="s">
        <v>51</v>
      </c>
      <c r="I719" t="s">
        <v>37</v>
      </c>
      <c r="J719" t="s">
        <v>38</v>
      </c>
      <c r="K719" s="1"/>
      <c r="L719" t="s">
        <v>38</v>
      </c>
      <c r="M719" t="s">
        <v>37</v>
      </c>
      <c r="O719" t="s">
        <v>38</v>
      </c>
      <c r="T719" t="str">
        <f>IF(RecruitmentTable[[#This Row],[Final Status]]="In process","Screening",IF(RecruitmentTable[[#This Row],[Final Status]]="Selected","Offer","Rejected"))</f>
        <v>Rejected</v>
      </c>
      <c r="U719">
        <f>IF(RecruitmentTable[[#This Row],[Final Status]]="Selected",1,0)</f>
        <v>0</v>
      </c>
    </row>
    <row r="720" spans="1:21" x14ac:dyDescent="0.25">
      <c r="A720" t="s">
        <v>1042</v>
      </c>
      <c r="B720" t="s">
        <v>1043</v>
      </c>
      <c r="C720" s="1">
        <v>46236</v>
      </c>
      <c r="D720" t="s">
        <v>41</v>
      </c>
      <c r="E720" t="s">
        <v>42</v>
      </c>
      <c r="F720" t="s">
        <v>23</v>
      </c>
      <c r="G720" t="s">
        <v>24</v>
      </c>
      <c r="H720" t="s">
        <v>72</v>
      </c>
      <c r="I720" t="s">
        <v>37</v>
      </c>
      <c r="J720" t="s">
        <v>38</v>
      </c>
      <c r="K720" s="1"/>
      <c r="L720" t="s">
        <v>38</v>
      </c>
      <c r="M720" t="s">
        <v>37</v>
      </c>
      <c r="O720" t="s">
        <v>38</v>
      </c>
      <c r="T720" t="str">
        <f>IF(RecruitmentTable[[#This Row],[Final Status]]="In process","Screening",IF(RecruitmentTable[[#This Row],[Final Status]]="Selected","Offer","Rejected"))</f>
        <v>Rejected</v>
      </c>
      <c r="U720">
        <f>IF(RecruitmentTable[[#This Row],[Final Status]]="Selected",1,0)</f>
        <v>0</v>
      </c>
    </row>
    <row r="721" spans="1:21" x14ac:dyDescent="0.25">
      <c r="A721" t="s">
        <v>1044</v>
      </c>
      <c r="B721" t="s">
        <v>70</v>
      </c>
      <c r="C721" s="1">
        <v>46221</v>
      </c>
      <c r="D721" t="s">
        <v>83</v>
      </c>
      <c r="E721" t="s">
        <v>34</v>
      </c>
      <c r="F721" t="s">
        <v>50</v>
      </c>
      <c r="G721" t="s">
        <v>66</v>
      </c>
      <c r="H721" t="s">
        <v>62</v>
      </c>
      <c r="I721" t="s">
        <v>37</v>
      </c>
      <c r="J721" t="s">
        <v>38</v>
      </c>
      <c r="K721" s="1"/>
      <c r="L721" t="s">
        <v>38</v>
      </c>
      <c r="M721" t="s">
        <v>37</v>
      </c>
      <c r="O721" t="s">
        <v>38</v>
      </c>
      <c r="T721" t="str">
        <f>IF(RecruitmentTable[[#This Row],[Final Status]]="In process","Screening",IF(RecruitmentTable[[#This Row],[Final Status]]="Selected","Offer","Rejected"))</f>
        <v>Rejected</v>
      </c>
      <c r="U721">
        <f>IF(RecruitmentTable[[#This Row],[Final Status]]="Selected",1,0)</f>
        <v>0</v>
      </c>
    </row>
    <row r="722" spans="1:21" x14ac:dyDescent="0.25">
      <c r="A722" t="s">
        <v>1045</v>
      </c>
      <c r="B722" t="s">
        <v>366</v>
      </c>
      <c r="C722" s="1">
        <v>46232</v>
      </c>
      <c r="D722" t="s">
        <v>56</v>
      </c>
      <c r="E722" t="s">
        <v>34</v>
      </c>
      <c r="F722" t="s">
        <v>50</v>
      </c>
      <c r="G722" t="s">
        <v>71</v>
      </c>
      <c r="H722" t="s">
        <v>25</v>
      </c>
      <c r="I722" t="s">
        <v>37</v>
      </c>
      <c r="J722" t="s">
        <v>38</v>
      </c>
      <c r="K722" s="1"/>
      <c r="L722" t="s">
        <v>38</v>
      </c>
      <c r="M722" t="s">
        <v>37</v>
      </c>
      <c r="O722" t="s">
        <v>38</v>
      </c>
      <c r="T722" t="str">
        <f>IF(RecruitmentTable[[#This Row],[Final Status]]="In process","Screening",IF(RecruitmentTable[[#This Row],[Final Status]]="Selected","Offer","Rejected"))</f>
        <v>Rejected</v>
      </c>
      <c r="U722">
        <f>IF(RecruitmentTable[[#This Row],[Final Status]]="Selected",1,0)</f>
        <v>0</v>
      </c>
    </row>
    <row r="723" spans="1:21" x14ac:dyDescent="0.25">
      <c r="A723" t="s">
        <v>1046</v>
      </c>
      <c r="B723" t="s">
        <v>1043</v>
      </c>
      <c r="C723" s="1">
        <v>46122</v>
      </c>
      <c r="D723" t="s">
        <v>21</v>
      </c>
      <c r="E723" t="s">
        <v>22</v>
      </c>
      <c r="F723" t="s">
        <v>57</v>
      </c>
      <c r="G723" t="s">
        <v>47</v>
      </c>
      <c r="H723" t="s">
        <v>51</v>
      </c>
      <c r="I723" t="s">
        <v>26</v>
      </c>
      <c r="J723" t="s">
        <v>38</v>
      </c>
      <c r="K723" s="1"/>
      <c r="L723" t="s">
        <v>58</v>
      </c>
      <c r="M723" t="s">
        <v>59</v>
      </c>
      <c r="O723" t="s">
        <v>38</v>
      </c>
      <c r="T723" t="str">
        <f>IF(RecruitmentTable[[#This Row],[Final Status]]="In process","Screening",IF(RecruitmentTable[[#This Row],[Final Status]]="Selected","Offer","Rejected"))</f>
        <v>Screening</v>
      </c>
      <c r="U723">
        <f>IF(RecruitmentTable[[#This Row],[Final Status]]="Selected",1,0)</f>
        <v>0</v>
      </c>
    </row>
    <row r="724" spans="1:21" x14ac:dyDescent="0.25">
      <c r="A724" t="s">
        <v>1047</v>
      </c>
      <c r="B724" t="s">
        <v>64</v>
      </c>
      <c r="C724" s="1">
        <v>46212</v>
      </c>
      <c r="D724" t="s">
        <v>56</v>
      </c>
      <c r="E724" t="s">
        <v>34</v>
      </c>
      <c r="F724" t="s">
        <v>57</v>
      </c>
      <c r="G724" t="s">
        <v>24</v>
      </c>
      <c r="H724" t="s">
        <v>44</v>
      </c>
      <c r="I724" t="s">
        <v>26</v>
      </c>
      <c r="J724" t="s">
        <v>27</v>
      </c>
      <c r="K724" s="1">
        <v>46221</v>
      </c>
      <c r="L724" t="s">
        <v>28</v>
      </c>
      <c r="M724" t="s">
        <v>37</v>
      </c>
      <c r="O724" t="s">
        <v>38</v>
      </c>
      <c r="Q724">
        <v>9</v>
      </c>
      <c r="T724" t="str">
        <f>IF(RecruitmentTable[[#This Row],[Final Status]]="In process","Screening",IF(RecruitmentTable[[#This Row],[Final Status]]="Selected","Offer","Rejected"))</f>
        <v>Rejected</v>
      </c>
      <c r="U724">
        <f>IF(RecruitmentTable[[#This Row],[Final Status]]="Selected",1,0)</f>
        <v>0</v>
      </c>
    </row>
    <row r="725" spans="1:21" x14ac:dyDescent="0.25">
      <c r="A725" t="s">
        <v>1048</v>
      </c>
      <c r="B725" t="s">
        <v>382</v>
      </c>
      <c r="C725" s="1">
        <v>46245</v>
      </c>
      <c r="D725" t="s">
        <v>83</v>
      </c>
      <c r="E725" t="s">
        <v>34</v>
      </c>
      <c r="F725" t="s">
        <v>57</v>
      </c>
      <c r="G725" t="s">
        <v>66</v>
      </c>
      <c r="H725" t="s">
        <v>44</v>
      </c>
      <c r="I725" t="s">
        <v>37</v>
      </c>
      <c r="J725" t="s">
        <v>38</v>
      </c>
      <c r="K725" s="1"/>
      <c r="L725" t="s">
        <v>38</v>
      </c>
      <c r="M725" t="s">
        <v>37</v>
      </c>
      <c r="O725" t="s">
        <v>38</v>
      </c>
      <c r="T725" t="str">
        <f>IF(RecruitmentTable[[#This Row],[Final Status]]="In process","Screening",IF(RecruitmentTable[[#This Row],[Final Status]]="Selected","Offer","Rejected"))</f>
        <v>Rejected</v>
      </c>
      <c r="U725">
        <f>IF(RecruitmentTable[[#This Row],[Final Status]]="Selected",1,0)</f>
        <v>0</v>
      </c>
    </row>
    <row r="726" spans="1:21" x14ac:dyDescent="0.25">
      <c r="A726" t="s">
        <v>1049</v>
      </c>
      <c r="B726" t="s">
        <v>775</v>
      </c>
      <c r="C726" s="1">
        <v>46285</v>
      </c>
      <c r="D726" t="s">
        <v>65</v>
      </c>
      <c r="E726" t="s">
        <v>42</v>
      </c>
      <c r="F726" t="s">
        <v>57</v>
      </c>
      <c r="G726" t="s">
        <v>24</v>
      </c>
      <c r="H726" t="s">
        <v>62</v>
      </c>
      <c r="I726" t="s">
        <v>37</v>
      </c>
      <c r="J726" t="s">
        <v>38</v>
      </c>
      <c r="K726" s="1"/>
      <c r="L726" t="s">
        <v>38</v>
      </c>
      <c r="M726" t="s">
        <v>37</v>
      </c>
      <c r="O726" t="s">
        <v>38</v>
      </c>
      <c r="T726" t="str">
        <f>IF(RecruitmentTable[[#This Row],[Final Status]]="In process","Screening",IF(RecruitmentTable[[#This Row],[Final Status]]="Selected","Offer","Rejected"))</f>
        <v>Rejected</v>
      </c>
      <c r="U726">
        <f>IF(RecruitmentTable[[#This Row],[Final Status]]="Selected",1,0)</f>
        <v>0</v>
      </c>
    </row>
    <row r="727" spans="1:21" x14ac:dyDescent="0.25">
      <c r="A727" t="s">
        <v>1050</v>
      </c>
      <c r="B727" t="s">
        <v>940</v>
      </c>
      <c r="C727" s="1">
        <v>46232</v>
      </c>
      <c r="D727" t="s">
        <v>41</v>
      </c>
      <c r="E727" t="s">
        <v>42</v>
      </c>
      <c r="F727" t="s">
        <v>57</v>
      </c>
      <c r="G727" t="s">
        <v>24</v>
      </c>
      <c r="H727" t="s">
        <v>44</v>
      </c>
      <c r="I727" t="s">
        <v>37</v>
      </c>
      <c r="J727" t="s">
        <v>38</v>
      </c>
      <c r="K727" s="1"/>
      <c r="L727" t="s">
        <v>38</v>
      </c>
      <c r="M727" t="s">
        <v>37</v>
      </c>
      <c r="O727" t="s">
        <v>38</v>
      </c>
      <c r="T727" t="str">
        <f>IF(RecruitmentTable[[#This Row],[Final Status]]="In process","Screening",IF(RecruitmentTable[[#This Row],[Final Status]]="Selected","Offer","Rejected"))</f>
        <v>Rejected</v>
      </c>
      <c r="U727">
        <f>IF(RecruitmentTable[[#This Row],[Final Status]]="Selected",1,0)</f>
        <v>0</v>
      </c>
    </row>
    <row r="728" spans="1:21" x14ac:dyDescent="0.25">
      <c r="A728" t="s">
        <v>1051</v>
      </c>
      <c r="B728" t="s">
        <v>1052</v>
      </c>
      <c r="C728" s="1">
        <v>46049</v>
      </c>
      <c r="D728" t="s">
        <v>41</v>
      </c>
      <c r="E728" t="s">
        <v>42</v>
      </c>
      <c r="F728" t="s">
        <v>35</v>
      </c>
      <c r="G728" t="s">
        <v>84</v>
      </c>
      <c r="H728" t="s">
        <v>44</v>
      </c>
      <c r="I728" t="s">
        <v>37</v>
      </c>
      <c r="J728" t="s">
        <v>38</v>
      </c>
      <c r="K728" s="1"/>
      <c r="L728" t="s">
        <v>38</v>
      </c>
      <c r="M728" t="s">
        <v>37</v>
      </c>
      <c r="O728" t="s">
        <v>38</v>
      </c>
      <c r="T728" t="str">
        <f>IF(RecruitmentTable[[#This Row],[Final Status]]="In process","Screening",IF(RecruitmentTable[[#This Row],[Final Status]]="Selected","Offer","Rejected"))</f>
        <v>Rejected</v>
      </c>
      <c r="U728">
        <f>IF(RecruitmentTable[[#This Row],[Final Status]]="Selected",1,0)</f>
        <v>0</v>
      </c>
    </row>
    <row r="729" spans="1:21" x14ac:dyDescent="0.25">
      <c r="A729" t="s">
        <v>1053</v>
      </c>
      <c r="B729" t="s">
        <v>394</v>
      </c>
      <c r="C729" s="1">
        <v>46262</v>
      </c>
      <c r="D729" t="s">
        <v>41</v>
      </c>
      <c r="E729" t="s">
        <v>42</v>
      </c>
      <c r="F729" t="s">
        <v>57</v>
      </c>
      <c r="G729" t="s">
        <v>47</v>
      </c>
      <c r="H729" t="s">
        <v>72</v>
      </c>
      <c r="I729" t="s">
        <v>26</v>
      </c>
      <c r="J729" t="s">
        <v>38</v>
      </c>
      <c r="K729" s="1"/>
      <c r="L729" t="s">
        <v>58</v>
      </c>
      <c r="M729" t="s">
        <v>59</v>
      </c>
      <c r="O729" t="s">
        <v>38</v>
      </c>
      <c r="T729" t="str">
        <f>IF(RecruitmentTable[[#This Row],[Final Status]]="In process","Screening",IF(RecruitmentTable[[#This Row],[Final Status]]="Selected","Offer","Rejected"))</f>
        <v>Screening</v>
      </c>
      <c r="U729">
        <f>IF(RecruitmentTable[[#This Row],[Final Status]]="Selected",1,0)</f>
        <v>0</v>
      </c>
    </row>
    <row r="730" spans="1:21" x14ac:dyDescent="0.25">
      <c r="A730" t="s">
        <v>1054</v>
      </c>
      <c r="B730" t="s">
        <v>177</v>
      </c>
      <c r="C730" s="1">
        <v>46284</v>
      </c>
      <c r="D730" t="s">
        <v>41</v>
      </c>
      <c r="E730" t="s">
        <v>42</v>
      </c>
      <c r="F730" t="s">
        <v>50</v>
      </c>
      <c r="G730" t="s">
        <v>84</v>
      </c>
      <c r="H730" t="s">
        <v>51</v>
      </c>
      <c r="I730" t="s">
        <v>37</v>
      </c>
      <c r="J730" t="s">
        <v>38</v>
      </c>
      <c r="K730" s="1"/>
      <c r="L730" t="s">
        <v>38</v>
      </c>
      <c r="M730" t="s">
        <v>37</v>
      </c>
      <c r="O730" t="s">
        <v>38</v>
      </c>
      <c r="T730" t="str">
        <f>IF(RecruitmentTable[[#This Row],[Final Status]]="In process","Screening",IF(RecruitmentTable[[#This Row],[Final Status]]="Selected","Offer","Rejected"))</f>
        <v>Rejected</v>
      </c>
      <c r="U730">
        <f>IF(RecruitmentTable[[#This Row],[Final Status]]="Selected",1,0)</f>
        <v>0</v>
      </c>
    </row>
    <row r="731" spans="1:21" x14ac:dyDescent="0.25">
      <c r="A731" t="s">
        <v>1055</v>
      </c>
      <c r="B731" t="s">
        <v>300</v>
      </c>
      <c r="C731" s="1">
        <v>46247</v>
      </c>
      <c r="D731" t="s">
        <v>21</v>
      </c>
      <c r="E731" t="s">
        <v>22</v>
      </c>
      <c r="F731" t="s">
        <v>23</v>
      </c>
      <c r="G731" t="s">
        <v>66</v>
      </c>
      <c r="H731" t="s">
        <v>44</v>
      </c>
      <c r="I731" t="s">
        <v>37</v>
      </c>
      <c r="J731" t="s">
        <v>38</v>
      </c>
      <c r="K731" s="1"/>
      <c r="L731" t="s">
        <v>38</v>
      </c>
      <c r="M731" t="s">
        <v>37</v>
      </c>
      <c r="O731" t="s">
        <v>38</v>
      </c>
      <c r="T731" t="str">
        <f>IF(RecruitmentTable[[#This Row],[Final Status]]="In process","Screening",IF(RecruitmentTable[[#This Row],[Final Status]]="Selected","Offer","Rejected"))</f>
        <v>Rejected</v>
      </c>
      <c r="U731">
        <f>IF(RecruitmentTable[[#This Row],[Final Status]]="Selected",1,0)</f>
        <v>0</v>
      </c>
    </row>
    <row r="732" spans="1:21" x14ac:dyDescent="0.25">
      <c r="A732" t="s">
        <v>1056</v>
      </c>
      <c r="B732" t="s">
        <v>615</v>
      </c>
      <c r="C732" s="1">
        <v>46149</v>
      </c>
      <c r="D732" t="s">
        <v>21</v>
      </c>
      <c r="E732" t="s">
        <v>22</v>
      </c>
      <c r="F732" t="s">
        <v>23</v>
      </c>
      <c r="G732" t="s">
        <v>36</v>
      </c>
      <c r="H732" t="s">
        <v>62</v>
      </c>
      <c r="I732" t="s">
        <v>26</v>
      </c>
      <c r="J732" t="s">
        <v>27</v>
      </c>
      <c r="K732" s="1">
        <v>46162</v>
      </c>
      <c r="L732" t="s">
        <v>28</v>
      </c>
      <c r="M732" t="s">
        <v>29</v>
      </c>
      <c r="N732" s="1">
        <v>46165</v>
      </c>
      <c r="O732" t="s">
        <v>30</v>
      </c>
      <c r="P732" s="1">
        <v>46183</v>
      </c>
      <c r="Q732">
        <v>13</v>
      </c>
      <c r="R732">
        <v>3</v>
      </c>
      <c r="S732">
        <v>18</v>
      </c>
      <c r="T732" t="str">
        <f>IF(RecruitmentTable[[#This Row],[Final Status]]="In process","Screening",IF(RecruitmentTable[[#This Row],[Final Status]]="Selected","Offer","Rejected"))</f>
        <v>Offer</v>
      </c>
      <c r="U732">
        <f>IF(RecruitmentTable[[#This Row],[Final Status]]="Selected",1,0)</f>
        <v>1</v>
      </c>
    </row>
    <row r="733" spans="1:21" x14ac:dyDescent="0.25">
      <c r="A733" t="s">
        <v>1057</v>
      </c>
      <c r="B733" t="s">
        <v>200</v>
      </c>
      <c r="C733" s="1">
        <v>46221</v>
      </c>
      <c r="D733" t="s">
        <v>21</v>
      </c>
      <c r="E733" t="s">
        <v>22</v>
      </c>
      <c r="F733" t="s">
        <v>50</v>
      </c>
      <c r="G733" t="s">
        <v>66</v>
      </c>
      <c r="H733" t="s">
        <v>62</v>
      </c>
      <c r="I733" t="s">
        <v>26</v>
      </c>
      <c r="J733" t="s">
        <v>27</v>
      </c>
      <c r="K733" s="1">
        <v>46238</v>
      </c>
      <c r="L733" t="s">
        <v>28</v>
      </c>
      <c r="M733" t="s">
        <v>37</v>
      </c>
      <c r="O733" t="s">
        <v>38</v>
      </c>
      <c r="Q733">
        <v>17</v>
      </c>
      <c r="T733" t="str">
        <f>IF(RecruitmentTable[[#This Row],[Final Status]]="In process","Screening",IF(RecruitmentTable[[#This Row],[Final Status]]="Selected","Offer","Rejected"))</f>
        <v>Rejected</v>
      </c>
      <c r="U733">
        <f>IF(RecruitmentTable[[#This Row],[Final Status]]="Selected",1,0)</f>
        <v>0</v>
      </c>
    </row>
    <row r="734" spans="1:21" x14ac:dyDescent="0.25">
      <c r="A734" t="s">
        <v>1058</v>
      </c>
      <c r="B734" t="s">
        <v>1059</v>
      </c>
      <c r="C734" s="1">
        <v>46257</v>
      </c>
      <c r="D734" t="s">
        <v>65</v>
      </c>
      <c r="E734" t="s">
        <v>42</v>
      </c>
      <c r="F734" t="s">
        <v>35</v>
      </c>
      <c r="G734" t="s">
        <v>24</v>
      </c>
      <c r="H734" t="s">
        <v>25</v>
      </c>
      <c r="I734" t="s">
        <v>26</v>
      </c>
      <c r="J734" t="s">
        <v>27</v>
      </c>
      <c r="K734" s="1">
        <v>46272</v>
      </c>
      <c r="L734" t="s">
        <v>28</v>
      </c>
      <c r="M734" t="s">
        <v>37</v>
      </c>
      <c r="O734" t="s">
        <v>38</v>
      </c>
      <c r="Q734">
        <v>15</v>
      </c>
      <c r="T734" t="str">
        <f>IF(RecruitmentTable[[#This Row],[Final Status]]="In process","Screening",IF(RecruitmentTable[[#This Row],[Final Status]]="Selected","Offer","Rejected"))</f>
        <v>Rejected</v>
      </c>
      <c r="U734">
        <f>IF(RecruitmentTable[[#This Row],[Final Status]]="Selected",1,0)</f>
        <v>0</v>
      </c>
    </row>
    <row r="735" spans="1:21" x14ac:dyDescent="0.25">
      <c r="A735" t="s">
        <v>1060</v>
      </c>
      <c r="B735" t="s">
        <v>901</v>
      </c>
      <c r="C735" s="1">
        <v>46197</v>
      </c>
      <c r="D735" t="s">
        <v>83</v>
      </c>
      <c r="E735" t="s">
        <v>34</v>
      </c>
      <c r="F735" t="s">
        <v>43</v>
      </c>
      <c r="G735" t="s">
        <v>71</v>
      </c>
      <c r="H735" t="s">
        <v>72</v>
      </c>
      <c r="I735" t="s">
        <v>37</v>
      </c>
      <c r="J735" t="s">
        <v>38</v>
      </c>
      <c r="K735" s="1"/>
      <c r="L735" t="s">
        <v>38</v>
      </c>
      <c r="M735" t="s">
        <v>37</v>
      </c>
      <c r="O735" t="s">
        <v>38</v>
      </c>
      <c r="T735" t="str">
        <f>IF(RecruitmentTable[[#This Row],[Final Status]]="In process","Screening",IF(RecruitmentTable[[#This Row],[Final Status]]="Selected","Offer","Rejected"))</f>
        <v>Rejected</v>
      </c>
      <c r="U735">
        <f>IF(RecruitmentTable[[#This Row],[Final Status]]="Selected",1,0)</f>
        <v>0</v>
      </c>
    </row>
    <row r="736" spans="1:21" x14ac:dyDescent="0.25">
      <c r="A736" t="s">
        <v>1061</v>
      </c>
      <c r="B736" t="s">
        <v>399</v>
      </c>
      <c r="C736" s="1">
        <v>46208</v>
      </c>
      <c r="D736" t="s">
        <v>65</v>
      </c>
      <c r="E736" t="s">
        <v>42</v>
      </c>
      <c r="F736" t="s">
        <v>35</v>
      </c>
      <c r="G736" t="s">
        <v>24</v>
      </c>
      <c r="H736" t="s">
        <v>72</v>
      </c>
      <c r="I736" t="s">
        <v>26</v>
      </c>
      <c r="J736" t="s">
        <v>27</v>
      </c>
      <c r="K736" s="1">
        <v>46219</v>
      </c>
      <c r="L736" t="s">
        <v>28</v>
      </c>
      <c r="M736" t="s">
        <v>37</v>
      </c>
      <c r="O736" t="s">
        <v>38</v>
      </c>
      <c r="Q736">
        <v>11</v>
      </c>
      <c r="T736" t="str">
        <f>IF(RecruitmentTable[[#This Row],[Final Status]]="In process","Screening",IF(RecruitmentTable[[#This Row],[Final Status]]="Selected","Offer","Rejected"))</f>
        <v>Rejected</v>
      </c>
      <c r="U736">
        <f>IF(RecruitmentTable[[#This Row],[Final Status]]="Selected",1,0)</f>
        <v>0</v>
      </c>
    </row>
    <row r="737" spans="1:21" x14ac:dyDescent="0.25">
      <c r="A737" t="s">
        <v>1062</v>
      </c>
      <c r="B737" t="s">
        <v>1063</v>
      </c>
      <c r="C737" s="1">
        <v>46255</v>
      </c>
      <c r="D737" t="s">
        <v>83</v>
      </c>
      <c r="E737" t="s">
        <v>34</v>
      </c>
      <c r="F737" t="s">
        <v>57</v>
      </c>
      <c r="G737" t="s">
        <v>36</v>
      </c>
      <c r="H737" t="s">
        <v>72</v>
      </c>
      <c r="I737" t="s">
        <v>37</v>
      </c>
      <c r="J737" t="s">
        <v>38</v>
      </c>
      <c r="K737" s="1"/>
      <c r="L737" t="s">
        <v>38</v>
      </c>
      <c r="M737" t="s">
        <v>37</v>
      </c>
      <c r="O737" t="s">
        <v>38</v>
      </c>
      <c r="T737" t="str">
        <f>IF(RecruitmentTable[[#This Row],[Final Status]]="In process","Screening",IF(RecruitmentTable[[#This Row],[Final Status]]="Selected","Offer","Rejected"))</f>
        <v>Rejected</v>
      </c>
      <c r="U737">
        <f>IF(RecruitmentTable[[#This Row],[Final Status]]="Selected",1,0)</f>
        <v>0</v>
      </c>
    </row>
    <row r="738" spans="1:21" x14ac:dyDescent="0.25">
      <c r="A738" t="s">
        <v>1064</v>
      </c>
      <c r="B738" t="s">
        <v>249</v>
      </c>
      <c r="C738" s="1">
        <v>46075</v>
      </c>
      <c r="D738" t="s">
        <v>56</v>
      </c>
      <c r="E738" t="s">
        <v>34</v>
      </c>
      <c r="F738" t="s">
        <v>57</v>
      </c>
      <c r="G738" t="s">
        <v>71</v>
      </c>
      <c r="H738" t="s">
        <v>44</v>
      </c>
      <c r="I738" t="s">
        <v>37</v>
      </c>
      <c r="J738" t="s">
        <v>38</v>
      </c>
      <c r="K738" s="1"/>
      <c r="L738" t="s">
        <v>38</v>
      </c>
      <c r="M738" t="s">
        <v>37</v>
      </c>
      <c r="O738" t="s">
        <v>38</v>
      </c>
      <c r="T738" t="str">
        <f>IF(RecruitmentTable[[#This Row],[Final Status]]="In process","Screening",IF(RecruitmentTable[[#This Row],[Final Status]]="Selected","Offer","Rejected"))</f>
        <v>Rejected</v>
      </c>
      <c r="U738">
        <f>IF(RecruitmentTable[[#This Row],[Final Status]]="Selected",1,0)</f>
        <v>0</v>
      </c>
    </row>
    <row r="739" spans="1:21" x14ac:dyDescent="0.25">
      <c r="A739" t="s">
        <v>1065</v>
      </c>
      <c r="B739" t="s">
        <v>469</v>
      </c>
      <c r="C739" s="1">
        <v>46202</v>
      </c>
      <c r="D739" t="s">
        <v>65</v>
      </c>
      <c r="E739" t="s">
        <v>42</v>
      </c>
      <c r="F739" t="s">
        <v>43</v>
      </c>
      <c r="G739" t="s">
        <v>47</v>
      </c>
      <c r="H739" t="s">
        <v>25</v>
      </c>
      <c r="I739" t="s">
        <v>37</v>
      </c>
      <c r="J739" t="s">
        <v>38</v>
      </c>
      <c r="K739" s="1"/>
      <c r="L739" t="s">
        <v>38</v>
      </c>
      <c r="M739" t="s">
        <v>37</v>
      </c>
      <c r="O739" t="s">
        <v>38</v>
      </c>
      <c r="T739" t="str">
        <f>IF(RecruitmentTable[[#This Row],[Final Status]]="In process","Screening",IF(RecruitmentTable[[#This Row],[Final Status]]="Selected","Offer","Rejected"))</f>
        <v>Rejected</v>
      </c>
      <c r="U739">
        <f>IF(RecruitmentTable[[#This Row],[Final Status]]="Selected",1,0)</f>
        <v>0</v>
      </c>
    </row>
    <row r="740" spans="1:21" x14ac:dyDescent="0.25">
      <c r="A740" t="s">
        <v>1066</v>
      </c>
      <c r="B740" t="s">
        <v>680</v>
      </c>
      <c r="C740" s="1">
        <v>46115</v>
      </c>
      <c r="D740" t="s">
        <v>33</v>
      </c>
      <c r="E740" t="s">
        <v>34</v>
      </c>
      <c r="F740" t="s">
        <v>57</v>
      </c>
      <c r="G740" t="s">
        <v>24</v>
      </c>
      <c r="H740" t="s">
        <v>62</v>
      </c>
      <c r="I740" t="s">
        <v>37</v>
      </c>
      <c r="J740" t="s">
        <v>38</v>
      </c>
      <c r="K740" s="1"/>
      <c r="L740" t="s">
        <v>38</v>
      </c>
      <c r="M740" t="s">
        <v>37</v>
      </c>
      <c r="O740" t="s">
        <v>38</v>
      </c>
      <c r="T740" t="str">
        <f>IF(RecruitmentTable[[#This Row],[Final Status]]="In process","Screening",IF(RecruitmentTable[[#This Row],[Final Status]]="Selected","Offer","Rejected"))</f>
        <v>Rejected</v>
      </c>
      <c r="U740">
        <f>IF(RecruitmentTable[[#This Row],[Final Status]]="Selected",1,0)</f>
        <v>0</v>
      </c>
    </row>
    <row r="741" spans="1:21" x14ac:dyDescent="0.25">
      <c r="A741" t="s">
        <v>1067</v>
      </c>
      <c r="B741" t="s">
        <v>319</v>
      </c>
      <c r="C741" s="1">
        <v>46262</v>
      </c>
      <c r="D741" t="s">
        <v>83</v>
      </c>
      <c r="E741" t="s">
        <v>34</v>
      </c>
      <c r="F741" t="s">
        <v>100</v>
      </c>
      <c r="G741" t="s">
        <v>66</v>
      </c>
      <c r="H741" t="s">
        <v>25</v>
      </c>
      <c r="I741" t="s">
        <v>37</v>
      </c>
      <c r="J741" t="s">
        <v>38</v>
      </c>
      <c r="K741" s="1"/>
      <c r="L741" t="s">
        <v>38</v>
      </c>
      <c r="M741" t="s">
        <v>37</v>
      </c>
      <c r="O741" t="s">
        <v>38</v>
      </c>
      <c r="T741" t="str">
        <f>IF(RecruitmentTable[[#This Row],[Final Status]]="In process","Screening",IF(RecruitmentTable[[#This Row],[Final Status]]="Selected","Offer","Rejected"))</f>
        <v>Rejected</v>
      </c>
      <c r="U741">
        <f>IF(RecruitmentTable[[#This Row],[Final Status]]="Selected",1,0)</f>
        <v>0</v>
      </c>
    </row>
    <row r="742" spans="1:21" x14ac:dyDescent="0.25">
      <c r="A742" t="s">
        <v>1068</v>
      </c>
      <c r="B742" t="s">
        <v>693</v>
      </c>
      <c r="C742" s="1">
        <v>46174</v>
      </c>
      <c r="D742" t="s">
        <v>33</v>
      </c>
      <c r="E742" t="s">
        <v>34</v>
      </c>
      <c r="F742" t="s">
        <v>50</v>
      </c>
      <c r="G742" t="s">
        <v>36</v>
      </c>
      <c r="H742" t="s">
        <v>51</v>
      </c>
      <c r="I742" t="s">
        <v>26</v>
      </c>
      <c r="J742" t="s">
        <v>27</v>
      </c>
      <c r="K742" s="1">
        <v>46189</v>
      </c>
      <c r="L742" t="s">
        <v>28</v>
      </c>
      <c r="M742" t="s">
        <v>29</v>
      </c>
      <c r="N742" s="1">
        <v>46195</v>
      </c>
      <c r="O742" t="s">
        <v>30</v>
      </c>
      <c r="P742" s="1">
        <v>46213</v>
      </c>
      <c r="Q742">
        <v>15</v>
      </c>
      <c r="R742">
        <v>6</v>
      </c>
      <c r="S742">
        <v>18</v>
      </c>
      <c r="T742" t="str">
        <f>IF(RecruitmentTable[[#This Row],[Final Status]]="In process","Screening",IF(RecruitmentTable[[#This Row],[Final Status]]="Selected","Offer","Rejected"))</f>
        <v>Offer</v>
      </c>
      <c r="U742">
        <f>IF(RecruitmentTable[[#This Row],[Final Status]]="Selected",1,0)</f>
        <v>1</v>
      </c>
    </row>
    <row r="743" spans="1:21" x14ac:dyDescent="0.25">
      <c r="A743" t="s">
        <v>1069</v>
      </c>
      <c r="B743" t="s">
        <v>175</v>
      </c>
      <c r="C743" s="1">
        <v>46175</v>
      </c>
      <c r="D743" t="s">
        <v>41</v>
      </c>
      <c r="E743" t="s">
        <v>42</v>
      </c>
      <c r="F743" t="s">
        <v>23</v>
      </c>
      <c r="G743" t="s">
        <v>71</v>
      </c>
      <c r="H743" t="s">
        <v>51</v>
      </c>
      <c r="I743" t="s">
        <v>37</v>
      </c>
      <c r="J743" t="s">
        <v>38</v>
      </c>
      <c r="K743" s="1"/>
      <c r="L743" t="s">
        <v>38</v>
      </c>
      <c r="M743" t="s">
        <v>37</v>
      </c>
      <c r="O743" t="s">
        <v>38</v>
      </c>
      <c r="T743" t="str">
        <f>IF(RecruitmentTable[[#This Row],[Final Status]]="In process","Screening",IF(RecruitmentTable[[#This Row],[Final Status]]="Selected","Offer","Rejected"))</f>
        <v>Rejected</v>
      </c>
      <c r="U743">
        <f>IF(RecruitmentTable[[#This Row],[Final Status]]="Selected",1,0)</f>
        <v>0</v>
      </c>
    </row>
    <row r="744" spans="1:21" x14ac:dyDescent="0.25">
      <c r="A744" t="s">
        <v>1070</v>
      </c>
      <c r="B744" t="s">
        <v>410</v>
      </c>
      <c r="C744" s="1">
        <v>46178</v>
      </c>
      <c r="D744" t="s">
        <v>65</v>
      </c>
      <c r="E744" t="s">
        <v>42</v>
      </c>
      <c r="F744" t="s">
        <v>100</v>
      </c>
      <c r="G744" t="s">
        <v>36</v>
      </c>
      <c r="H744" t="s">
        <v>62</v>
      </c>
      <c r="I744" t="s">
        <v>37</v>
      </c>
      <c r="J744" t="s">
        <v>38</v>
      </c>
      <c r="K744" s="1"/>
      <c r="L744" t="s">
        <v>38</v>
      </c>
      <c r="M744" t="s">
        <v>37</v>
      </c>
      <c r="O744" t="s">
        <v>38</v>
      </c>
      <c r="T744" t="str">
        <f>IF(RecruitmentTable[[#This Row],[Final Status]]="In process","Screening",IF(RecruitmentTable[[#This Row],[Final Status]]="Selected","Offer","Rejected"))</f>
        <v>Rejected</v>
      </c>
      <c r="U744">
        <f>IF(RecruitmentTable[[#This Row],[Final Status]]="Selected",1,0)</f>
        <v>0</v>
      </c>
    </row>
    <row r="745" spans="1:21" x14ac:dyDescent="0.25">
      <c r="A745" t="s">
        <v>1071</v>
      </c>
      <c r="B745" t="s">
        <v>185</v>
      </c>
      <c r="C745" s="1">
        <v>46141</v>
      </c>
      <c r="D745" t="s">
        <v>65</v>
      </c>
      <c r="E745" t="s">
        <v>42</v>
      </c>
      <c r="F745" t="s">
        <v>43</v>
      </c>
      <c r="G745" t="s">
        <v>24</v>
      </c>
      <c r="H745" t="s">
        <v>62</v>
      </c>
      <c r="I745" t="s">
        <v>37</v>
      </c>
      <c r="J745" t="s">
        <v>38</v>
      </c>
      <c r="K745" s="1"/>
      <c r="L745" t="s">
        <v>38</v>
      </c>
      <c r="M745" t="s">
        <v>37</v>
      </c>
      <c r="O745" t="s">
        <v>38</v>
      </c>
      <c r="T745" t="str">
        <f>IF(RecruitmentTable[[#This Row],[Final Status]]="In process","Screening",IF(RecruitmentTable[[#This Row],[Final Status]]="Selected","Offer","Rejected"))</f>
        <v>Rejected</v>
      </c>
      <c r="U745">
        <f>IF(RecruitmentTable[[#This Row],[Final Status]]="Selected",1,0)</f>
        <v>0</v>
      </c>
    </row>
    <row r="746" spans="1:21" x14ac:dyDescent="0.25">
      <c r="A746" t="s">
        <v>1072</v>
      </c>
      <c r="B746" t="s">
        <v>970</v>
      </c>
      <c r="C746" s="1">
        <v>46226</v>
      </c>
      <c r="D746" t="s">
        <v>56</v>
      </c>
      <c r="E746" t="s">
        <v>34</v>
      </c>
      <c r="F746" t="s">
        <v>43</v>
      </c>
      <c r="G746" t="s">
        <v>36</v>
      </c>
      <c r="H746" t="s">
        <v>44</v>
      </c>
      <c r="I746" t="s">
        <v>37</v>
      </c>
      <c r="J746" t="s">
        <v>38</v>
      </c>
      <c r="K746" s="1"/>
      <c r="L746" t="s">
        <v>38</v>
      </c>
      <c r="M746" t="s">
        <v>37</v>
      </c>
      <c r="O746" t="s">
        <v>38</v>
      </c>
      <c r="T746" t="str">
        <f>IF(RecruitmentTable[[#This Row],[Final Status]]="In process","Screening",IF(RecruitmentTable[[#This Row],[Final Status]]="Selected","Offer","Rejected"))</f>
        <v>Rejected</v>
      </c>
      <c r="U746">
        <f>IF(RecruitmentTable[[#This Row],[Final Status]]="Selected",1,0)</f>
        <v>0</v>
      </c>
    </row>
    <row r="747" spans="1:21" x14ac:dyDescent="0.25">
      <c r="A747" t="s">
        <v>1073</v>
      </c>
      <c r="B747" t="s">
        <v>99</v>
      </c>
      <c r="C747" s="1">
        <v>46276</v>
      </c>
      <c r="D747" t="s">
        <v>41</v>
      </c>
      <c r="E747" t="s">
        <v>42</v>
      </c>
      <c r="F747" t="s">
        <v>57</v>
      </c>
      <c r="G747" t="s">
        <v>47</v>
      </c>
      <c r="H747" t="s">
        <v>62</v>
      </c>
      <c r="I747" t="s">
        <v>26</v>
      </c>
      <c r="J747" t="s">
        <v>27</v>
      </c>
      <c r="K747" s="1">
        <v>46292</v>
      </c>
      <c r="L747" t="s">
        <v>28</v>
      </c>
      <c r="M747" t="s">
        <v>37</v>
      </c>
      <c r="O747" t="s">
        <v>38</v>
      </c>
      <c r="Q747">
        <v>16</v>
      </c>
      <c r="T747" t="str">
        <f>IF(RecruitmentTable[[#This Row],[Final Status]]="In process","Screening",IF(RecruitmentTable[[#This Row],[Final Status]]="Selected","Offer","Rejected"))</f>
        <v>Rejected</v>
      </c>
      <c r="U747">
        <f>IF(RecruitmentTable[[#This Row],[Final Status]]="Selected",1,0)</f>
        <v>0</v>
      </c>
    </row>
    <row r="748" spans="1:21" x14ac:dyDescent="0.25">
      <c r="A748" t="s">
        <v>1074</v>
      </c>
      <c r="B748" t="s">
        <v>231</v>
      </c>
      <c r="C748" s="1">
        <v>46112</v>
      </c>
      <c r="D748" t="s">
        <v>41</v>
      </c>
      <c r="E748" t="s">
        <v>42</v>
      </c>
      <c r="F748" t="s">
        <v>57</v>
      </c>
      <c r="G748" t="s">
        <v>24</v>
      </c>
      <c r="H748" t="s">
        <v>72</v>
      </c>
      <c r="I748" t="s">
        <v>26</v>
      </c>
      <c r="J748" t="s">
        <v>38</v>
      </c>
      <c r="K748" s="1"/>
      <c r="L748" t="s">
        <v>58</v>
      </c>
      <c r="M748" t="s">
        <v>59</v>
      </c>
      <c r="O748" t="s">
        <v>38</v>
      </c>
      <c r="T748" t="str">
        <f>IF(RecruitmentTable[[#This Row],[Final Status]]="In process","Screening",IF(RecruitmentTable[[#This Row],[Final Status]]="Selected","Offer","Rejected"))</f>
        <v>Screening</v>
      </c>
      <c r="U748">
        <f>IF(RecruitmentTable[[#This Row],[Final Status]]="Selected",1,0)</f>
        <v>0</v>
      </c>
    </row>
    <row r="749" spans="1:21" x14ac:dyDescent="0.25">
      <c r="A749" t="s">
        <v>1075</v>
      </c>
      <c r="B749" t="s">
        <v>834</v>
      </c>
      <c r="C749" s="1">
        <v>46246</v>
      </c>
      <c r="D749" t="s">
        <v>56</v>
      </c>
      <c r="E749" t="s">
        <v>34</v>
      </c>
      <c r="F749" t="s">
        <v>57</v>
      </c>
      <c r="G749" t="s">
        <v>47</v>
      </c>
      <c r="H749" t="s">
        <v>51</v>
      </c>
      <c r="I749" t="s">
        <v>26</v>
      </c>
      <c r="J749" t="s">
        <v>27</v>
      </c>
      <c r="K749" s="1">
        <v>46257</v>
      </c>
      <c r="L749" t="s">
        <v>28</v>
      </c>
      <c r="M749" t="s">
        <v>29</v>
      </c>
      <c r="O749" t="s">
        <v>38</v>
      </c>
      <c r="Q749">
        <v>11</v>
      </c>
      <c r="T749" t="str">
        <f>IF(RecruitmentTable[[#This Row],[Final Status]]="In process","Screening",IF(RecruitmentTable[[#This Row],[Final Status]]="Selected","Offer","Rejected"))</f>
        <v>Offer</v>
      </c>
      <c r="U749">
        <f>IF(RecruitmentTable[[#This Row],[Final Status]]="Selected",1,0)</f>
        <v>1</v>
      </c>
    </row>
    <row r="750" spans="1:21" x14ac:dyDescent="0.25">
      <c r="A750" t="s">
        <v>1076</v>
      </c>
      <c r="B750" t="s">
        <v>374</v>
      </c>
      <c r="C750" s="1">
        <v>46206</v>
      </c>
      <c r="D750" t="s">
        <v>83</v>
      </c>
      <c r="E750" t="s">
        <v>34</v>
      </c>
      <c r="F750" t="s">
        <v>35</v>
      </c>
      <c r="G750" t="s">
        <v>24</v>
      </c>
      <c r="H750" t="s">
        <v>44</v>
      </c>
      <c r="I750" t="s">
        <v>37</v>
      </c>
      <c r="J750" t="s">
        <v>38</v>
      </c>
      <c r="L750" t="s">
        <v>38</v>
      </c>
      <c r="M750" t="s">
        <v>37</v>
      </c>
      <c r="O750" t="s">
        <v>38</v>
      </c>
      <c r="T750" t="str">
        <f>IF(RecruitmentTable[[#This Row],[Final Status]]="In process","Screening",IF(RecruitmentTable[[#This Row],[Final Status]]="Selected","Offer","Rejected"))</f>
        <v>Rejected</v>
      </c>
      <c r="U750">
        <f>IF(RecruitmentTable[[#This Row],[Final Status]]="Selected",1,0)</f>
        <v>0</v>
      </c>
    </row>
    <row r="751" spans="1:21" x14ac:dyDescent="0.25">
      <c r="A751" t="s">
        <v>1077</v>
      </c>
      <c r="B751" t="s">
        <v>1078</v>
      </c>
      <c r="C751" s="1">
        <v>46209</v>
      </c>
      <c r="D751" t="s">
        <v>33</v>
      </c>
      <c r="E751" t="s">
        <v>34</v>
      </c>
      <c r="F751" t="s">
        <v>50</v>
      </c>
      <c r="G751" t="s">
        <v>71</v>
      </c>
      <c r="H751" t="s">
        <v>62</v>
      </c>
      <c r="I751" t="s">
        <v>37</v>
      </c>
      <c r="J751" t="s">
        <v>38</v>
      </c>
      <c r="L751" t="s">
        <v>38</v>
      </c>
      <c r="M751" t="s">
        <v>37</v>
      </c>
      <c r="O751" t="s">
        <v>38</v>
      </c>
      <c r="T751" t="str">
        <f>IF(RecruitmentTable[[#This Row],[Final Status]]="In process","Screening",IF(RecruitmentTable[[#This Row],[Final Status]]="Selected","Offer","Rejected"))</f>
        <v>Rejected</v>
      </c>
      <c r="U751">
        <f>IF(RecruitmentTable[[#This Row],[Final Status]]="Selected",1,0)</f>
        <v>0</v>
      </c>
    </row>
  </sheetData>
  <conditionalFormatting sqref="A2:A751">
    <cfRule type="duplicateValues" dxfId="0" priority="1"/>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Recruitment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Divyanshi Raj</cp:lastModifiedBy>
  <dcterms:created xsi:type="dcterms:W3CDTF">2026-10-03T19:14:01Z</dcterms:created>
  <dcterms:modified xsi:type="dcterms:W3CDTF">2026-10-05T17:46:20Z</dcterms:modified>
</cp:coreProperties>
</file>